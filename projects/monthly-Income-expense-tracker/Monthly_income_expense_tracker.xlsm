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BBA 6\DMV\Assignment 9\"/>
    </mc:Choice>
  </mc:AlternateContent>
  <xr:revisionPtr revIDLastSave="0" documentId="8_{BE8ADEB9-4AB5-4D56-BE18-4175BB35C8DA}" xr6:coauthVersionLast="47" xr6:coauthVersionMax="47" xr10:uidLastSave="{00000000-0000-0000-0000-000000000000}"/>
  <bookViews>
    <workbookView xWindow="-120" yWindow="-120" windowWidth="20730" windowHeight="11160" activeTab="1" xr2:uid="{202EE9B4-2DA6-4ED1-A443-3AECCFCAC4ED}"/>
  </bookViews>
  <sheets>
    <sheet name="Raw Data" sheetId="1" r:id="rId1"/>
    <sheet name="Summary" sheetId="10" r:id="rId2"/>
    <sheet name="January" sheetId="3" r:id="rId3"/>
    <sheet name="February" sheetId="13" r:id="rId4"/>
    <sheet name="March" sheetId="14" r:id="rId5"/>
  </sheets>
  <definedNames>
    <definedName name="_xleta.DAY" hidden="1" xlm="1">#NAME?</definedName>
    <definedName name="_xleta.IFERROR" hidden="1" xlm="1">#NAME?</definedName>
    <definedName name="_xleta.RECEIVED" hidden="1" xlm="1">#NAME?</definedName>
    <definedName name="_xleta.SORT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TEXT" hidden="1" xlm="1">#NAME?</definedName>
    <definedName name="Amount">'Raw Data'!$E:$E</definedName>
    <definedName name="Category">'Raw Data'!$D:$D</definedName>
    <definedName name="Date">'Raw Data'!$A:$A</definedName>
    <definedName name="Description">'Raw Data'!$F:$F</definedName>
    <definedName name="Expense" localSheetId="3">February!$P$16:$P$31</definedName>
    <definedName name="Expense" localSheetId="4">March!$P$16:$P$31</definedName>
    <definedName name="Expense" localSheetId="1">Summary!$A$23:$A$39</definedName>
    <definedName name="Expense">January!$P$16:$P$31</definedName>
    <definedName name="February">#REF!</definedName>
    <definedName name="Income" localSheetId="3">February!$I$15:$I$19</definedName>
    <definedName name="Income" localSheetId="4">March!$I$15:$I$19</definedName>
    <definedName name="Income" localSheetId="1">Summary!$A$15:$A$19</definedName>
    <definedName name="Income">January!$I$15:$I$19</definedName>
    <definedName name="January" localSheetId="3">February!$B$13:$G$41</definedName>
    <definedName name="January" localSheetId="4">March!$B$13:$G$41</definedName>
    <definedName name="January" localSheetId="1">Summary!#REF!</definedName>
    <definedName name="January">January!$B$13:$G$41</definedName>
    <definedName name="March">#REF!</definedName>
    <definedName name="Month">'Raw Data'!$B:$B</definedName>
    <definedName name="Raw_Data">'Raw Data'!$A$1:$F$81</definedName>
    <definedName name="Type">'Raw Data'!$C:$C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3" l="1" a="1"/>
  <c r="B14" i="3" s="1"/>
  <c r="Q9" i="3" s="1"/>
  <c r="B40" i="10"/>
  <c r="T26" i="10"/>
  <c r="T27" i="10" s="1"/>
  <c r="I15" i="13" a="1"/>
  <c r="I15" i="13" s="1"/>
  <c r="I15" i="14" a="1"/>
  <c r="A23" i="10" a="1"/>
  <c r="B39" i="10" s="1"/>
  <c r="A15" i="10" a="1"/>
  <c r="B18" i="10" s="1"/>
  <c r="I15" i="14" l="1"/>
  <c r="B25" i="10"/>
  <c r="B29" i="10"/>
  <c r="B33" i="10"/>
  <c r="B37" i="10"/>
  <c r="B17" i="10"/>
  <c r="A23" i="10"/>
  <c r="B26" i="10"/>
  <c r="B30" i="10"/>
  <c r="B34" i="10"/>
  <c r="B38" i="10"/>
  <c r="B19" i="10"/>
  <c r="B24" i="10"/>
  <c r="B28" i="10"/>
  <c r="B32" i="10"/>
  <c r="B36" i="10"/>
  <c r="B16" i="10"/>
  <c r="A15" i="10"/>
  <c r="B15" i="10" s="1"/>
  <c r="B27" i="10"/>
  <c r="B31" i="10"/>
  <c r="B35" i="10"/>
  <c r="I15" i="3" a="1"/>
  <c r="I15" i="3" s="1"/>
  <c r="B23" i="10" l="1"/>
  <c r="E40" i="10" a="1"/>
  <c r="E40" i="10" s="1"/>
  <c r="E34" i="10" a="1"/>
  <c r="E34" i="10" s="1"/>
  <c r="I34" i="10" a="1"/>
  <c r="I34" i="10" s="1"/>
  <c r="C34" i="10" a="1"/>
  <c r="C34" i="10" s="1"/>
  <c r="C28" i="10" a="1"/>
  <c r="C28" i="10" s="1"/>
  <c r="I22" i="10" a="1"/>
  <c r="I22" i="10" s="1"/>
  <c r="G40" i="10" a="1"/>
  <c r="G40" i="10" s="1"/>
  <c r="E28" i="10" a="1"/>
  <c r="E28" i="10" s="1"/>
  <c r="G34" i="10" a="1"/>
  <c r="G34" i="10" s="1"/>
  <c r="C46" i="10" a="1"/>
  <c r="C46" i="10" s="1"/>
  <c r="G28" i="10" a="1"/>
  <c r="G28" i="10" s="1"/>
  <c r="E22" i="10" a="1"/>
  <c r="E22" i="10" s="1"/>
  <c r="I40" i="10" a="1"/>
  <c r="I40" i="10" s="1"/>
  <c r="C40" i="10" a="1"/>
  <c r="C40" i="10" s="1"/>
  <c r="I28" i="10" a="1"/>
  <c r="I28" i="10" s="1"/>
  <c r="G22" i="10" a="1"/>
  <c r="G22" i="10" s="1"/>
  <c r="L14" i="10"/>
  <c r="C22" i="10" l="1" a="1"/>
  <c r="C22" i="10" s="1"/>
  <c r="B42" i="10"/>
  <c r="B41" i="10"/>
  <c r="L8" i="10"/>
  <c r="L6" i="10" s="1" a="1"/>
  <c r="L6" i="10" s="1"/>
  <c r="L12" i="10" a="1"/>
  <c r="L12" i="10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2" i="1"/>
  <c r="B14" i="14" l="1" a="1"/>
  <c r="B14" i="13" a="1"/>
  <c r="Q7" i="3" l="1" a="1"/>
  <c r="Q7" i="3" s="1"/>
  <c r="D8" i="3"/>
  <c r="D9" i="3"/>
  <c r="B10" i="10" s="1"/>
  <c r="J15" i="3"/>
  <c r="J16" i="3"/>
  <c r="J19" i="3"/>
  <c r="P16" i="3" a="1"/>
  <c r="J17" i="3"/>
  <c r="J18" i="3"/>
  <c r="B14" i="13"/>
  <c r="J19" i="13"/>
  <c r="P16" i="13" a="1"/>
  <c r="D8" i="13"/>
  <c r="C9" i="10" s="1"/>
  <c r="J15" i="13"/>
  <c r="J16" i="13"/>
  <c r="J18" i="13"/>
  <c r="D9" i="13"/>
  <c r="J17" i="13"/>
  <c r="B14" i="14"/>
  <c r="P16" i="14" a="1"/>
  <c r="J18" i="14"/>
  <c r="D8" i="14"/>
  <c r="J17" i="14"/>
  <c r="J19" i="14"/>
  <c r="J16" i="14"/>
  <c r="D9" i="14"/>
  <c r="D10" i="10" s="1"/>
  <c r="J15" i="14"/>
  <c r="Q20" i="14" l="1"/>
  <c r="Q21" i="14"/>
  <c r="Q25" i="14"/>
  <c r="Q29" i="14"/>
  <c r="Q18" i="14"/>
  <c r="Q23" i="14"/>
  <c r="Q27" i="14"/>
  <c r="Q31" i="14"/>
  <c r="Q19" i="14"/>
  <c r="Q24" i="14"/>
  <c r="Q28" i="14"/>
  <c r="Q32" i="14"/>
  <c r="Q17" i="14"/>
  <c r="Q22" i="14"/>
  <c r="Q26" i="14"/>
  <c r="Q30" i="14"/>
  <c r="Q7" i="13" a="1"/>
  <c r="Q7" i="13" s="1"/>
  <c r="Q9" i="13"/>
  <c r="Q6" i="13" a="1"/>
  <c r="Q6" i="13" s="1"/>
  <c r="H3" i="13"/>
  <c r="J3" i="13"/>
  <c r="B9" i="10"/>
  <c r="D10" i="3"/>
  <c r="R21" i="14"/>
  <c r="R26" i="14"/>
  <c r="R31" i="14"/>
  <c r="R23" i="14"/>
  <c r="S30" i="14"/>
  <c r="R30" i="14"/>
  <c r="R17" i="14"/>
  <c r="R29" i="14"/>
  <c r="S18" i="14"/>
  <c r="R25" i="14"/>
  <c r="R22" i="14"/>
  <c r="S29" i="14"/>
  <c r="S32" i="14"/>
  <c r="R28" i="14"/>
  <c r="P16" i="14"/>
  <c r="Q16" i="14" s="1"/>
  <c r="S19" i="14"/>
  <c r="S24" i="14"/>
  <c r="R20" i="14"/>
  <c r="R24" i="14"/>
  <c r="S20" i="14"/>
  <c r="R19" i="14"/>
  <c r="S17" i="14"/>
  <c r="R27" i="14"/>
  <c r="S27" i="14"/>
  <c r="R18" i="14"/>
  <c r="R32" i="14"/>
  <c r="S25" i="14"/>
  <c r="S31" i="14"/>
  <c r="S26" i="14"/>
  <c r="S22" i="14"/>
  <c r="S28" i="14"/>
  <c r="S21" i="14"/>
  <c r="S23" i="14"/>
  <c r="D10" i="13"/>
  <c r="C11" i="10" s="1"/>
  <c r="C10" i="10"/>
  <c r="E10" i="10" s="1"/>
  <c r="D9" i="10"/>
  <c r="D10" i="14"/>
  <c r="D11" i="10" s="1"/>
  <c r="H3" i="14"/>
  <c r="Q9" i="14"/>
  <c r="J3" i="14"/>
  <c r="Q6" i="14" a="1"/>
  <c r="Q6" i="14" s="1"/>
  <c r="S23" i="3"/>
  <c r="R23" i="3"/>
  <c r="Q27" i="3"/>
  <c r="S28" i="3"/>
  <c r="Q20" i="3"/>
  <c r="S21" i="3"/>
  <c r="R21" i="3"/>
  <c r="Q21" i="3"/>
  <c r="S22" i="3"/>
  <c r="R22" i="3"/>
  <c r="Q22" i="3"/>
  <c r="Q19" i="3"/>
  <c r="S31" i="3"/>
  <c r="R31" i="3"/>
  <c r="S20" i="3"/>
  <c r="R24" i="3"/>
  <c r="Q28" i="3"/>
  <c r="S29" i="3"/>
  <c r="R29" i="3"/>
  <c r="Q29" i="3"/>
  <c r="S30" i="3"/>
  <c r="R30" i="3"/>
  <c r="Q30" i="3"/>
  <c r="S19" i="3"/>
  <c r="R19" i="3"/>
  <c r="S24" i="3"/>
  <c r="R28" i="3"/>
  <c r="S17" i="3"/>
  <c r="R17" i="3"/>
  <c r="Q17" i="3"/>
  <c r="S18" i="3"/>
  <c r="R18" i="3"/>
  <c r="P16" i="3"/>
  <c r="S27" i="3"/>
  <c r="Q31" i="3"/>
  <c r="R20" i="3"/>
  <c r="Q24" i="3"/>
  <c r="R25" i="3"/>
  <c r="Q25" i="3"/>
  <c r="R26" i="3"/>
  <c r="Q23" i="3"/>
  <c r="Q18" i="3"/>
  <c r="R27" i="3"/>
  <c r="S25" i="3"/>
  <c r="S26" i="3"/>
  <c r="Q26" i="3"/>
  <c r="Q7" i="14" a="1"/>
  <c r="Q7" i="14" s="1"/>
  <c r="S18" i="13"/>
  <c r="S22" i="13"/>
  <c r="S26" i="13"/>
  <c r="S30" i="13"/>
  <c r="R18" i="13"/>
  <c r="R22" i="13"/>
  <c r="R26" i="13"/>
  <c r="R30" i="13"/>
  <c r="Q18" i="13"/>
  <c r="Q22" i="13"/>
  <c r="Q26" i="13"/>
  <c r="Q30" i="13"/>
  <c r="S19" i="13"/>
  <c r="S23" i="13"/>
  <c r="S27" i="13"/>
  <c r="S31" i="13"/>
  <c r="R19" i="13"/>
  <c r="R23" i="13"/>
  <c r="R27" i="13"/>
  <c r="R31" i="13"/>
  <c r="Q19" i="13"/>
  <c r="Q23" i="13"/>
  <c r="Q27" i="13"/>
  <c r="Q31" i="13"/>
  <c r="S17" i="13"/>
  <c r="S21" i="13"/>
  <c r="S25" i="13"/>
  <c r="S29" i="13"/>
  <c r="R17" i="13"/>
  <c r="R21" i="13"/>
  <c r="R25" i="13"/>
  <c r="Q17" i="13"/>
  <c r="Q21" i="13"/>
  <c r="Q29" i="13"/>
  <c r="S20" i="13"/>
  <c r="S24" i="13"/>
  <c r="S28" i="13"/>
  <c r="R20" i="13"/>
  <c r="R24" i="13"/>
  <c r="R28" i="13"/>
  <c r="Q20" i="13"/>
  <c r="Q24" i="13"/>
  <c r="Q28" i="13"/>
  <c r="R29" i="13"/>
  <c r="Q25" i="13"/>
  <c r="P16" i="13"/>
  <c r="H3" i="3"/>
  <c r="Q6" i="3" a="1"/>
  <c r="Q6" i="3" s="1"/>
  <c r="J3" i="3"/>
  <c r="D44" i="14" l="1"/>
  <c r="C3" i="3"/>
  <c r="H5" i="3" a="1"/>
  <c r="H5" i="3" s="1"/>
  <c r="S16" i="13"/>
  <c r="R16" i="13"/>
  <c r="Q16" i="13"/>
  <c r="R16" i="3"/>
  <c r="S16" i="3"/>
  <c r="Q16" i="3"/>
  <c r="C3" i="14"/>
  <c r="H5" i="14" a="1"/>
  <c r="H5" i="14" s="1"/>
  <c r="B11" i="10"/>
  <c r="E11" i="10" s="1"/>
  <c r="P9" i="10" s="1"/>
  <c r="P11" i="10" s="1" a="1"/>
  <c r="P11" i="10" s="1"/>
  <c r="E9" i="10"/>
  <c r="R16" i="14"/>
  <c r="S16" i="14"/>
  <c r="C3" i="13"/>
  <c r="H5" i="13" a="1"/>
  <c r="H5" i="13" s="1"/>
  <c r="E45" i="3" l="1"/>
  <c r="F44" i="3"/>
  <c r="W15" i="3"/>
  <c r="F45" i="3"/>
  <c r="F46" i="3"/>
  <c r="E44" i="3"/>
  <c r="W16" i="3"/>
  <c r="E46" i="3"/>
  <c r="D44" i="3"/>
  <c r="D46" i="3"/>
  <c r="D45" i="3"/>
  <c r="W17" i="3"/>
  <c r="F44" i="14"/>
  <c r="E46" i="14"/>
  <c r="D46" i="14"/>
  <c r="E44" i="14"/>
  <c r="D45" i="14"/>
  <c r="F46" i="14"/>
  <c r="W17" i="14"/>
  <c r="F45" i="14"/>
  <c r="W16" i="14"/>
  <c r="E45" i="14"/>
  <c r="W15" i="14"/>
  <c r="E45" i="13"/>
  <c r="W17" i="13"/>
  <c r="W16" i="13"/>
  <c r="E46" i="13"/>
  <c r="D46" i="13"/>
  <c r="E44" i="13"/>
  <c r="W15" i="13"/>
  <c r="F46" i="13"/>
  <c r="D45" i="13"/>
  <c r="F44" i="13"/>
  <c r="D44" i="13"/>
  <c r="F45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<sst xmlns="http://schemas.openxmlformats.org/spreadsheetml/2006/main" count="401" uniqueCount="120">
  <si>
    <t>Date</t>
  </si>
  <si>
    <t>Type</t>
  </si>
  <si>
    <t>Category</t>
  </si>
  <si>
    <t>Amount</t>
  </si>
  <si>
    <t>Description</t>
  </si>
  <si>
    <t>Income</t>
  </si>
  <si>
    <t>Salary</t>
  </si>
  <si>
    <t>Salary from office</t>
  </si>
  <si>
    <t>Expense</t>
  </si>
  <si>
    <t>Groceries</t>
  </si>
  <si>
    <t>Spices, food items, oil, grains</t>
  </si>
  <si>
    <t>Fruits &amp; Vegetables</t>
  </si>
  <si>
    <t>Fruits and Vegetables</t>
  </si>
  <si>
    <t>House Help Workers</t>
  </si>
  <si>
    <t>House Maid</t>
  </si>
  <si>
    <t>Garbage Picker</t>
  </si>
  <si>
    <t>Milk</t>
  </si>
  <si>
    <t>2 kg milk</t>
  </si>
  <si>
    <t>Freelancing</t>
  </si>
  <si>
    <t>Upwork Client</t>
  </si>
  <si>
    <t>Utilities</t>
  </si>
  <si>
    <t>Electricity Bill</t>
  </si>
  <si>
    <t>Transportation</t>
  </si>
  <si>
    <t>Car 1 Petrol</t>
  </si>
  <si>
    <t>Apartment Rent</t>
  </si>
  <si>
    <t>Tenant - Apartment 3A</t>
  </si>
  <si>
    <t>Health</t>
  </si>
  <si>
    <t>Medicines</t>
  </si>
  <si>
    <t>Chicken &amp; Meat</t>
  </si>
  <si>
    <t>Chicken only</t>
  </si>
  <si>
    <t>Education</t>
  </si>
  <si>
    <t>School Fee</t>
  </si>
  <si>
    <t>Gas Bill</t>
  </si>
  <si>
    <t>Clothes &amp; Shoes Shopping</t>
  </si>
  <si>
    <t>Clothes and shoes</t>
  </si>
  <si>
    <t>Entertainment</t>
  </si>
  <si>
    <t>Netflix Subscription + Outing</t>
  </si>
  <si>
    <t>Bread and Eggs</t>
  </si>
  <si>
    <t>Taxes</t>
  </si>
  <si>
    <t>Advance Tax Payment</t>
  </si>
  <si>
    <t>Business</t>
  </si>
  <si>
    <t>Wholesale margin</t>
  </si>
  <si>
    <t>Personal Care</t>
  </si>
  <si>
    <t>Skincare and Haircare</t>
  </si>
  <si>
    <t>Insurance</t>
  </si>
  <si>
    <t>Health Insurance Premium</t>
  </si>
  <si>
    <t>Ramazan Preparation</t>
  </si>
  <si>
    <t>Food Items</t>
  </si>
  <si>
    <t>Car Cleaner</t>
  </si>
  <si>
    <t>Car Rent</t>
  </si>
  <si>
    <t>Tenant - Car Rental</t>
  </si>
  <si>
    <t>Phone Bill</t>
  </si>
  <si>
    <t>Miscellaneous Expenses</t>
  </si>
  <si>
    <t>Different Estimated Expenses</t>
  </si>
  <si>
    <t>Fiverr Project</t>
  </si>
  <si>
    <t>Chicken and Mutton</t>
  </si>
  <si>
    <t>University Fee</t>
  </si>
  <si>
    <t>Netflix + Dining Out</t>
  </si>
  <si>
    <t>Bread, Eggs, Snacks</t>
  </si>
  <si>
    <t>Property Tax Payment</t>
  </si>
  <si>
    <t>Bulk Grocery Preps</t>
  </si>
  <si>
    <t>Unexpected Small Purchases</t>
  </si>
  <si>
    <t>Ramazan groceries bulk</t>
  </si>
  <si>
    <t>2 kg milk daily stock</t>
  </si>
  <si>
    <t>Car 1 &amp; 2 Petrol</t>
  </si>
  <si>
    <t>Chicken, Beef &amp; Lamb</t>
  </si>
  <si>
    <t>Eid Shopping Early</t>
  </si>
  <si>
    <t>Outings, Cinema, Netflix</t>
  </si>
  <si>
    <t>Snacks and Iftar Items</t>
  </si>
  <si>
    <t>Gifts and Charity</t>
  </si>
  <si>
    <t>Ramadan Donations</t>
  </si>
  <si>
    <t>Bulk dry fruits, juices, dates</t>
  </si>
  <si>
    <t>Tax Payment</t>
  </si>
  <si>
    <t>Perfumes and Skincare</t>
  </si>
  <si>
    <t>Additional Dates, Frozen Items</t>
  </si>
  <si>
    <t>Unexpected Home Repair Costs</t>
  </si>
  <si>
    <t>Client Project Completion</t>
  </si>
  <si>
    <t>Month</t>
  </si>
  <si>
    <t>Total Income</t>
  </si>
  <si>
    <t>Total Expanses</t>
  </si>
  <si>
    <t>Net Savings</t>
  </si>
  <si>
    <t>Overview</t>
  </si>
  <si>
    <t>Income Summary</t>
  </si>
  <si>
    <t>Expases Summary</t>
  </si>
  <si>
    <t>Lowest Expense Category</t>
  </si>
  <si>
    <t>Highest Expense Category</t>
  </si>
  <si>
    <t>Total Savings</t>
  </si>
  <si>
    <t>Income Sources</t>
  </si>
  <si>
    <t>Total</t>
  </si>
  <si>
    <t>Total Expenses</t>
  </si>
  <si>
    <t>No. of Purchases</t>
  </si>
  <si>
    <t>Expenses by Conditions</t>
  </si>
  <si>
    <t>Sum</t>
  </si>
  <si>
    <t>Average</t>
  </si>
  <si>
    <t>Count</t>
  </si>
  <si>
    <t>10000&lt;  &amp; &lt; 6000</t>
  </si>
  <si>
    <t>&gt;10000</t>
  </si>
  <si>
    <t>&gt; 6000</t>
  </si>
  <si>
    <t>January</t>
  </si>
  <si>
    <t>Sun</t>
  </si>
  <si>
    <t>Mon</t>
  </si>
  <si>
    <t>Tue</t>
  </si>
  <si>
    <t>Wed</t>
  </si>
  <si>
    <t>Thu</t>
  </si>
  <si>
    <t>Fri</t>
  </si>
  <si>
    <t>Sat</t>
  </si>
  <si>
    <t>Expenses Summary</t>
  </si>
  <si>
    <t>Average Expenses</t>
  </si>
  <si>
    <t>Expense Categories</t>
  </si>
  <si>
    <t>February</t>
  </si>
  <si>
    <t>March</t>
  </si>
  <si>
    <t>Monthly Income/Expense Tracker</t>
  </si>
  <si>
    <t>Activity</t>
  </si>
  <si>
    <t>Trend</t>
  </si>
  <si>
    <t>Total Expenses on categories</t>
  </si>
  <si>
    <r>
      <rPr>
        <sz val="32"/>
        <color theme="1"/>
        <rFont val="Broadway"/>
        <family val="5"/>
      </rPr>
      <t>Jan-Mar</t>
    </r>
    <r>
      <rPr>
        <sz val="26"/>
        <color theme="1"/>
        <rFont val="Arial Black"/>
        <family val="2"/>
      </rPr>
      <t xml:space="preserve"> </t>
    </r>
    <r>
      <rPr>
        <i/>
        <sz val="48"/>
        <color theme="1"/>
        <rFont val="Algerian"/>
        <family val="5"/>
      </rPr>
      <t>2025</t>
    </r>
  </si>
  <si>
    <t>Look for a particular transaction</t>
  </si>
  <si>
    <t>Totall Expenses Categorie</t>
  </si>
  <si>
    <t>Avg Expense per category</t>
  </si>
  <si>
    <t>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</si>
</sst>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"/>
    <numFmt numFmtId="165" formatCode="mmmm"/>
    <numFmt numFmtId="166" formatCode="&quot;Rs&quot;#,##0.00"/>
    <numFmt numFmtId="167" formatCode="&quot;Rs&quot;#,##0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26"/>
      <color theme="1"/>
      <name val="Algerian"/>
      <family val="5"/>
    </font>
    <font>
      <sz val="20"/>
      <color theme="1"/>
      <name val="Arial Black"/>
      <family val="2"/>
    </font>
    <font>
      <sz val="12"/>
      <color theme="0"/>
      <name val="Aptos Narrow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8"/>
      <color theme="1"/>
      <name val="Times New Roman"/>
      <family val="1"/>
    </font>
    <font>
      <sz val="18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28"/>
      <color theme="0"/>
      <name val="Algerian"/>
      <family val="5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26"/>
      <color theme="1"/>
      <name val="Arial Black"/>
      <family val="2"/>
    </font>
    <font>
      <i/>
      <sz val="48"/>
      <color theme="1"/>
      <name val="Algerian"/>
      <family val="5"/>
    </font>
    <font>
      <sz val="26"/>
      <color theme="1"/>
      <name val="Arial Black"/>
      <family val="5"/>
    </font>
    <font>
      <sz val="32"/>
      <color theme="1"/>
      <name val="Broadway"/>
      <family val="5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AFEE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>
      <alignment horizontal="center" vertical="center"/>
    </xf>
  </cellStyleXfs>
  <cellXfs count="230">
    <xf numFmtId="0" fontId="0" fillId="0" borderId="0" xfId="0"/>
    <xf numFmtId="0" fontId="3" fillId="6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14" fontId="0" fillId="0" borderId="3" xfId="0" applyNumberFormat="1" applyBorder="1"/>
    <xf numFmtId="0" fontId="0" fillId="0" borderId="0" xfId="0" applyAlignment="1">
      <alignment horizontal="center"/>
    </xf>
    <xf numFmtId="0" fontId="0" fillId="0" borderId="9" xfId="0" applyBorder="1"/>
    <xf numFmtId="164" fontId="10" fillId="6" borderId="5" xfId="0" applyNumberFormat="1" applyFont="1" applyFill="1" applyBorder="1" applyAlignment="1">
      <alignment horizontal="center" vertical="center"/>
    </xf>
    <xf numFmtId="164" fontId="10" fillId="6" borderId="0" xfId="0" applyNumberFormat="1" applyFont="1" applyFill="1" applyAlignment="1">
      <alignment horizontal="center" vertical="center"/>
    </xf>
    <xf numFmtId="164" fontId="10" fillId="6" borderId="6" xfId="0" applyNumberFormat="1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6" fillId="7" borderId="3" xfId="0" applyFont="1" applyFill="1" applyBorder="1"/>
    <xf numFmtId="0" fontId="16" fillId="7" borderId="4" xfId="0" applyFont="1" applyFill="1" applyBorder="1"/>
    <xf numFmtId="0" fontId="13" fillId="7" borderId="10" xfId="0" applyFont="1" applyFill="1" applyBorder="1"/>
    <xf numFmtId="0" fontId="13" fillId="7" borderId="11" xfId="0" applyFont="1" applyFill="1" applyBorder="1"/>
    <xf numFmtId="164" fontId="0" fillId="0" borderId="0" xfId="0" applyNumberFormat="1"/>
    <xf numFmtId="0" fontId="3" fillId="8" borderId="5" xfId="0" applyFont="1" applyFill="1" applyBorder="1"/>
    <xf numFmtId="0" fontId="3" fillId="7" borderId="4" xfId="0" applyFont="1" applyFill="1" applyBorder="1"/>
    <xf numFmtId="0" fontId="0" fillId="10" borderId="0" xfId="0" applyFill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13" fillId="7" borderId="12" xfId="0" applyFont="1" applyFill="1" applyBorder="1"/>
    <xf numFmtId="0" fontId="11" fillId="13" borderId="5" xfId="0" applyFont="1" applyFill="1" applyBorder="1"/>
    <xf numFmtId="0" fontId="3" fillId="7" borderId="6" xfId="0" applyFont="1" applyFill="1" applyBorder="1"/>
    <xf numFmtId="0" fontId="10" fillId="0" borderId="0" xfId="0" applyFont="1"/>
    <xf numFmtId="14" fontId="12" fillId="15" borderId="2" xfId="0" applyNumberFormat="1" applyFont="1" applyFill="1" applyBorder="1" applyAlignment="1">
      <alignment horizontal="center" vertical="center"/>
    </xf>
    <xf numFmtId="14" fontId="12" fillId="15" borderId="3" xfId="0" applyNumberFormat="1" applyFont="1" applyFill="1" applyBorder="1" applyAlignment="1">
      <alignment horizontal="center" vertical="center"/>
    </xf>
    <xf numFmtId="14" fontId="12" fillId="15" borderId="4" xfId="0" applyNumberFormat="1" applyFont="1" applyFill="1" applyBorder="1" applyAlignment="1">
      <alignment horizontal="center" vertical="center"/>
    </xf>
    <xf numFmtId="0" fontId="3" fillId="8" borderId="0" xfId="0" applyFont="1" applyFill="1"/>
    <xf numFmtId="0" fontId="3" fillId="7" borderId="2" xfId="0" applyFont="1" applyFill="1" applyBorder="1" applyAlignment="1">
      <alignment horizontal="left" vertical="center" wrapText="1"/>
    </xf>
    <xf numFmtId="0" fontId="3" fillId="7" borderId="3" xfId="0" applyFont="1" applyFill="1" applyBorder="1" applyAlignment="1">
      <alignment horizontal="left" vertical="center" wrapText="1"/>
    </xf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5" borderId="1" xfId="4" applyNumberFormat="1" applyBorder="1"/>
    <xf numFmtId="0" fontId="1" fillId="5" borderId="1" xfId="4" applyBorder="1"/>
    <xf numFmtId="0" fontId="1" fillId="5" borderId="11" xfId="4" applyBorder="1"/>
    <xf numFmtId="14" fontId="1" fillId="5" borderId="13" xfId="4" applyNumberFormat="1" applyBorder="1"/>
    <xf numFmtId="0" fontId="1" fillId="5" borderId="13" xfId="4" applyBorder="1"/>
    <xf numFmtId="0" fontId="1" fillId="5" borderId="0" xfId="4"/>
    <xf numFmtId="14" fontId="1" fillId="5" borderId="14" xfId="4" applyNumberFormat="1" applyBorder="1"/>
    <xf numFmtId="0" fontId="1" fillId="5" borderId="14" xfId="4" applyBorder="1"/>
    <xf numFmtId="0" fontId="2" fillId="2" borderId="5" xfId="1" applyBorder="1"/>
    <xf numFmtId="0" fontId="2" fillId="2" borderId="7" xfId="1" applyBorder="1"/>
    <xf numFmtId="0" fontId="9" fillId="4" borderId="7" xfId="3" applyFont="1" applyBorder="1"/>
    <xf numFmtId="0" fontId="9" fillId="4" borderId="8" xfId="3" applyFont="1" applyBorder="1"/>
    <xf numFmtId="0" fontId="4" fillId="3" borderId="5" xfId="2" applyBorder="1"/>
    <xf numFmtId="0" fontId="4" fillId="3" borderId="6" xfId="2" applyBorder="1" applyAlignment="1">
      <alignment horizontal="center"/>
    </xf>
    <xf numFmtId="0" fontId="4" fillId="3" borderId="7" xfId="2" applyBorder="1"/>
    <xf numFmtId="0" fontId="4" fillId="3" borderId="9" xfId="2" applyBorder="1" applyAlignment="1">
      <alignment horizontal="center"/>
    </xf>
    <xf numFmtId="0" fontId="3" fillId="6" borderId="1" xfId="0" applyFont="1" applyFill="1" applyBorder="1" applyAlignment="1">
      <alignment vertical="center"/>
    </xf>
    <xf numFmtId="167" fontId="3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vertical="center" wrapText="1"/>
    </xf>
    <xf numFmtId="167" fontId="0" fillId="0" borderId="0" xfId="0" applyNumberFormat="1"/>
    <xf numFmtId="167" fontId="1" fillId="5" borderId="1" xfId="4" applyNumberFormat="1" applyBorder="1"/>
    <xf numFmtId="167" fontId="1" fillId="5" borderId="13" xfId="4" applyNumberFormat="1" applyBorder="1"/>
    <xf numFmtId="167" fontId="1" fillId="5" borderId="14" xfId="4" applyNumberFormat="1" applyBorder="1"/>
    <xf numFmtId="167" fontId="4" fillId="3" borderId="0" xfId="2" applyNumberFormat="1" applyBorder="1" applyAlignment="1">
      <alignment horizontal="center"/>
    </xf>
    <xf numFmtId="167" fontId="4" fillId="3" borderId="8" xfId="2" applyNumberFormat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0" fontId="6" fillId="0" borderId="0" xfId="0" applyFont="1"/>
    <xf numFmtId="167" fontId="6" fillId="0" borderId="0" xfId="0" applyNumberFormat="1" applyFont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5" fillId="18" borderId="4" xfId="0" applyFont="1" applyFill="1" applyBorder="1" applyAlignment="1">
      <alignment horizontal="center" vertical="center"/>
    </xf>
    <xf numFmtId="0" fontId="18" fillId="16" borderId="5" xfId="0" applyFont="1" applyFill="1" applyBorder="1"/>
    <xf numFmtId="0" fontId="6" fillId="16" borderId="0" xfId="0" applyFont="1" applyFill="1" applyAlignment="1">
      <alignment horizontal="center" vertical="center"/>
    </xf>
    <xf numFmtId="0" fontId="0" fillId="16" borderId="6" xfId="0" applyFill="1" applyBorder="1"/>
    <xf numFmtId="0" fontId="18" fillId="16" borderId="7" xfId="0" applyFont="1" applyFill="1" applyBorder="1"/>
    <xf numFmtId="0" fontId="6" fillId="16" borderId="8" xfId="0" applyFont="1" applyFill="1" applyBorder="1" applyAlignment="1">
      <alignment horizontal="center" vertical="center"/>
    </xf>
    <xf numFmtId="0" fontId="0" fillId="16" borderId="9" xfId="0" applyFill="1" applyBorder="1"/>
    <xf numFmtId="0" fontId="6" fillId="11" borderId="5" xfId="0" applyFont="1" applyFill="1" applyBorder="1"/>
    <xf numFmtId="0" fontId="6" fillId="11" borderId="7" xfId="0" applyFont="1" applyFill="1" applyBorder="1"/>
    <xf numFmtId="0" fontId="6" fillId="17" borderId="5" xfId="0" applyFont="1" applyFill="1" applyBorder="1"/>
    <xf numFmtId="0" fontId="13" fillId="18" borderId="2" xfId="0" applyFont="1" applyFill="1" applyBorder="1" applyAlignment="1">
      <alignment vertical="center"/>
    </xf>
    <xf numFmtId="0" fontId="15" fillId="18" borderId="2" xfId="0" applyFont="1" applyFill="1" applyBorder="1" applyAlignment="1">
      <alignment vertical="center"/>
    </xf>
    <xf numFmtId="167" fontId="6" fillId="17" borderId="0" xfId="0" applyNumberFormat="1" applyFont="1" applyFill="1" applyAlignment="1">
      <alignment horizontal="center"/>
    </xf>
    <xf numFmtId="0" fontId="0" fillId="20" borderId="3" xfId="0" applyFill="1" applyBorder="1"/>
    <xf numFmtId="0" fontId="0" fillId="20" borderId="4" xfId="0" applyFill="1" applyBorder="1"/>
    <xf numFmtId="167" fontId="0" fillId="20" borderId="0" xfId="0" applyNumberFormat="1" applyFill="1"/>
    <xf numFmtId="167" fontId="0" fillId="20" borderId="6" xfId="0" applyNumberFormat="1" applyFill="1" applyBorder="1"/>
    <xf numFmtId="167" fontId="3" fillId="20" borderId="0" xfId="0" applyNumberFormat="1" applyFont="1" applyFill="1" applyAlignment="1">
      <alignment horizontal="center" vertical="center"/>
    </xf>
    <xf numFmtId="167" fontId="3" fillId="20" borderId="6" xfId="0" applyNumberFormat="1" applyFont="1" applyFill="1" applyBorder="1" applyAlignment="1">
      <alignment horizontal="center" vertical="center"/>
    </xf>
    <xf numFmtId="167" fontId="3" fillId="20" borderId="5" xfId="0" applyNumberFormat="1" applyFont="1" applyFill="1" applyBorder="1" applyAlignment="1">
      <alignment horizontal="center" vertical="center"/>
    </xf>
    <xf numFmtId="167" fontId="0" fillId="20" borderId="8" xfId="0" applyNumberFormat="1" applyFill="1" applyBorder="1"/>
    <xf numFmtId="167" fontId="0" fillId="20" borderId="9" xfId="0" applyNumberFormat="1" applyFill="1" applyBorder="1"/>
    <xf numFmtId="167" fontId="13" fillId="18" borderId="3" xfId="0" applyNumberFormat="1" applyFont="1" applyFill="1" applyBorder="1" applyAlignment="1">
      <alignment horizontal="center" vertical="center"/>
    </xf>
    <xf numFmtId="167" fontId="6" fillId="11" borderId="0" xfId="0" applyNumberFormat="1" applyFont="1" applyFill="1" applyAlignment="1">
      <alignment horizontal="center"/>
    </xf>
    <xf numFmtId="167" fontId="6" fillId="11" borderId="8" xfId="0" applyNumberFormat="1" applyFont="1" applyFill="1" applyBorder="1" applyAlignment="1">
      <alignment horizontal="center"/>
    </xf>
    <xf numFmtId="0" fontId="0" fillId="20" borderId="2" xfId="0" applyFill="1" applyBorder="1"/>
    <xf numFmtId="167" fontId="0" fillId="20" borderId="5" xfId="0" applyNumberFormat="1" applyFill="1" applyBorder="1"/>
    <xf numFmtId="0" fontId="22" fillId="0" borderId="0" xfId="0" applyFont="1" applyAlignment="1">
      <alignment horizontal="center" vertical="center"/>
    </xf>
    <xf numFmtId="0" fontId="0" fillId="20" borderId="5" xfId="0" applyFill="1" applyBorder="1"/>
    <xf numFmtId="0" fontId="0" fillId="20" borderId="7" xfId="0" applyFill="1" applyBorder="1"/>
    <xf numFmtId="0" fontId="0" fillId="21" borderId="0" xfId="0" applyFill="1"/>
    <xf numFmtId="0" fontId="0" fillId="21" borderId="6" xfId="0" applyFill="1" applyBorder="1"/>
    <xf numFmtId="0" fontId="0" fillId="21" borderId="8" xfId="0" applyFill="1" applyBorder="1"/>
    <xf numFmtId="0" fontId="0" fillId="21" borderId="9" xfId="0" applyFill="1" applyBorder="1"/>
    <xf numFmtId="14" fontId="0" fillId="20" borderId="5" xfId="0" applyNumberFormat="1" applyFill="1" applyBorder="1"/>
    <xf numFmtId="14" fontId="0" fillId="0" borderId="0" xfId="0" applyNumberFormat="1"/>
    <xf numFmtId="14" fontId="12" fillId="20" borderId="5" xfId="0" applyNumberFormat="1" applyFont="1" applyFill="1" applyBorder="1" applyAlignment="1">
      <alignment horizontal="center"/>
    </xf>
    <xf numFmtId="14" fontId="1" fillId="22" borderId="1" xfId="4" applyNumberFormat="1" applyFill="1" applyBorder="1"/>
    <xf numFmtId="0" fontId="1" fillId="22" borderId="1" xfId="4" applyFill="1" applyBorder="1"/>
    <xf numFmtId="167" fontId="1" fillId="22" borderId="1" xfId="4" applyNumberFormat="1" applyFill="1" applyBorder="1"/>
    <xf numFmtId="14" fontId="0" fillId="22" borderId="1" xfId="0" applyNumberFormat="1" applyFill="1" applyBorder="1"/>
    <xf numFmtId="0" fontId="0" fillId="22" borderId="1" xfId="0" applyFill="1" applyBorder="1"/>
    <xf numFmtId="14" fontId="1" fillId="0" borderId="0" xfId="4" applyNumberFormat="1" applyFill="1" applyBorder="1"/>
    <xf numFmtId="0" fontId="1" fillId="0" borderId="0" xfId="4" applyFill="1" applyBorder="1"/>
    <xf numFmtId="167" fontId="1" fillId="0" borderId="0" xfId="4" applyNumberFormat="1" applyFill="1" applyBorder="1"/>
    <xf numFmtId="167" fontId="4" fillId="18" borderId="8" xfId="2" applyNumberFormat="1" applyFill="1" applyBorder="1" applyAlignment="1">
      <alignment horizontal="center"/>
    </xf>
    <xf numFmtId="0" fontId="4" fillId="18" borderId="9" xfId="2" applyFill="1" applyBorder="1" applyAlignment="1">
      <alignment horizontal="center"/>
    </xf>
    <xf numFmtId="0" fontId="13" fillId="7" borderId="2" xfId="0" applyFont="1" applyFill="1" applyBorder="1"/>
    <xf numFmtId="0" fontId="13" fillId="7" borderId="3" xfId="0" applyFont="1" applyFill="1" applyBorder="1"/>
    <xf numFmtId="0" fontId="13" fillId="7" borderId="4" xfId="0" applyFont="1" applyFill="1" applyBorder="1"/>
    <xf numFmtId="0" fontId="4" fillId="18" borderId="7" xfId="0" applyFon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6" borderId="9" xfId="0" applyNumberFormat="1" applyFill="1" applyBorder="1"/>
    <xf numFmtId="0" fontId="12" fillId="8" borderId="2" xfId="0" applyFont="1" applyFill="1" applyBorder="1"/>
    <xf numFmtId="0" fontId="12" fillId="8" borderId="5" xfId="0" applyFont="1" applyFill="1" applyBorder="1"/>
    <xf numFmtId="0" fontId="12" fillId="8" borderId="7" xfId="0" applyFont="1" applyFill="1" applyBorder="1"/>
    <xf numFmtId="0" fontId="10" fillId="23" borderId="4" xfId="0" applyFont="1" applyFill="1" applyBorder="1" applyAlignment="1">
      <alignment horizontal="center"/>
    </xf>
    <xf numFmtId="0" fontId="10" fillId="23" borderId="6" xfId="0" applyFont="1" applyFill="1" applyBorder="1" applyAlignment="1">
      <alignment horizontal="center"/>
    </xf>
    <xf numFmtId="14" fontId="10" fillId="23" borderId="6" xfId="0" applyNumberFormat="1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9" fillId="24" borderId="2" xfId="0" applyFont="1" applyFill="1" applyBorder="1"/>
    <xf numFmtId="0" fontId="19" fillId="24" borderId="4" xfId="0" applyFont="1" applyFill="1" applyBorder="1"/>
    <xf numFmtId="0" fontId="10" fillId="8" borderId="7" xfId="0" applyFont="1" applyFill="1" applyBorder="1"/>
    <xf numFmtId="167" fontId="10" fillId="8" borderId="9" xfId="0" applyNumberFormat="1" applyFont="1" applyFill="1" applyBorder="1" applyAlignment="1">
      <alignment horizontal="center"/>
    </xf>
    <xf numFmtId="0" fontId="0" fillId="8" borderId="2" xfId="0" applyFill="1" applyBorder="1"/>
    <xf numFmtId="0" fontId="0" fillId="8" borderId="4" xfId="0" applyFill="1" applyBorder="1" applyAlignment="1">
      <alignment horizontal="center"/>
    </xf>
    <xf numFmtId="0" fontId="10" fillId="8" borderId="5" xfId="0" applyFont="1" applyFill="1" applyBorder="1"/>
    <xf numFmtId="167" fontId="10" fillId="8" borderId="6" xfId="0" applyNumberFormat="1" applyFont="1" applyFill="1" applyBorder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167" fontId="0" fillId="0" borderId="0" xfId="0" applyNumberFormat="1" applyAlignment="1">
      <alignment vertical="center" wrapText="1"/>
    </xf>
    <xf numFmtId="166" fontId="19" fillId="19" borderId="0" xfId="0" applyNumberFormat="1" applyFont="1" applyFill="1" applyAlignment="1">
      <alignment horizontal="center" vertical="center"/>
    </xf>
    <xf numFmtId="166" fontId="19" fillId="19" borderId="6" xfId="0" applyNumberFormat="1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8" xfId="0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17" fillId="12" borderId="0" xfId="0" applyFont="1" applyFill="1" applyAlignment="1">
      <alignment horizontal="left" vertical="center"/>
    </xf>
    <xf numFmtId="0" fontId="15" fillId="13" borderId="2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7" xfId="0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0" fontId="15" fillId="13" borderId="9" xfId="0" applyFont="1" applyFill="1" applyBorder="1" applyAlignment="1">
      <alignment horizontal="center" vertical="center"/>
    </xf>
    <xf numFmtId="167" fontId="10" fillId="19" borderId="5" xfId="0" applyNumberFormat="1" applyFont="1" applyFill="1" applyBorder="1" applyAlignment="1">
      <alignment horizontal="center" vertical="center"/>
    </xf>
    <xf numFmtId="167" fontId="10" fillId="19" borderId="6" xfId="0" applyNumberFormat="1" applyFont="1" applyFill="1" applyBorder="1" applyAlignment="1">
      <alignment horizontal="center" vertical="center"/>
    </xf>
    <xf numFmtId="166" fontId="18" fillId="19" borderId="7" xfId="0" applyNumberFormat="1" applyFont="1" applyFill="1" applyBorder="1" applyAlignment="1">
      <alignment horizontal="center" vertical="center"/>
    </xf>
    <xf numFmtId="166" fontId="18" fillId="19" borderId="8" xfId="0" applyNumberFormat="1" applyFont="1" applyFill="1" applyBorder="1" applyAlignment="1">
      <alignment horizontal="center" vertical="center"/>
    </xf>
    <xf numFmtId="166" fontId="18" fillId="19" borderId="9" xfId="0" applyNumberFormat="1" applyFont="1" applyFill="1" applyBorder="1" applyAlignment="1">
      <alignment horizontal="center" vertical="center"/>
    </xf>
    <xf numFmtId="0" fontId="14" fillId="19" borderId="5" xfId="0" applyFont="1" applyFill="1" applyBorder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4" fillId="19" borderId="6" xfId="0" applyFont="1" applyFill="1" applyBorder="1" applyAlignment="1">
      <alignment horizontal="center" vertical="center"/>
    </xf>
    <xf numFmtId="166" fontId="14" fillId="19" borderId="5" xfId="0" applyNumberFormat="1" applyFont="1" applyFill="1" applyBorder="1" applyAlignment="1">
      <alignment horizontal="center" vertical="center"/>
    </xf>
    <xf numFmtId="166" fontId="14" fillId="19" borderId="0" xfId="0" applyNumberFormat="1" applyFont="1" applyFill="1" applyAlignment="1">
      <alignment horizontal="center" vertical="center"/>
    </xf>
    <xf numFmtId="166" fontId="14" fillId="19" borderId="6" xfId="0" applyNumberFormat="1" applyFont="1" applyFill="1" applyBorder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13" fillId="19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7" fontId="12" fillId="20" borderId="5" xfId="0" applyNumberFormat="1" applyFont="1" applyFill="1" applyBorder="1" applyAlignment="1">
      <alignment horizontal="center" vertical="center"/>
    </xf>
    <xf numFmtId="167" fontId="12" fillId="20" borderId="0" xfId="0" applyNumberFormat="1" applyFont="1" applyFill="1" applyAlignment="1">
      <alignment horizontal="center" vertical="center"/>
    </xf>
    <xf numFmtId="167" fontId="12" fillId="20" borderId="6" xfId="0" applyNumberFormat="1" applyFont="1" applyFill="1" applyBorder="1" applyAlignment="1">
      <alignment horizontal="center" vertical="center"/>
    </xf>
    <xf numFmtId="167" fontId="6" fillId="20" borderId="5" xfId="0" applyNumberFormat="1" applyFont="1" applyFill="1" applyBorder="1" applyAlignment="1">
      <alignment horizontal="center" vertical="center"/>
    </xf>
    <xf numFmtId="167" fontId="6" fillId="20" borderId="0" xfId="0" applyNumberFormat="1" applyFont="1" applyFill="1" applyAlignment="1">
      <alignment horizontal="center" vertical="center"/>
    </xf>
    <xf numFmtId="167" fontId="6" fillId="20" borderId="6" xfId="0" applyNumberFormat="1" applyFont="1" applyFill="1" applyBorder="1" applyAlignment="1">
      <alignment horizontal="center" vertical="center"/>
    </xf>
    <xf numFmtId="167" fontId="6" fillId="20" borderId="7" xfId="0" applyNumberFormat="1" applyFont="1" applyFill="1" applyBorder="1" applyAlignment="1">
      <alignment horizontal="center" vertical="center"/>
    </xf>
    <xf numFmtId="167" fontId="6" fillId="20" borderId="8" xfId="0" applyNumberFormat="1" applyFont="1" applyFill="1" applyBorder="1" applyAlignment="1">
      <alignment horizontal="center" vertical="center"/>
    </xf>
    <xf numFmtId="0" fontId="13" fillId="19" borderId="2" xfId="0" applyFont="1" applyFill="1" applyBorder="1" applyAlignment="1">
      <alignment horizontal="center" vertical="center"/>
    </xf>
    <xf numFmtId="0" fontId="13" fillId="19" borderId="3" xfId="0" applyFont="1" applyFill="1" applyBorder="1" applyAlignment="1">
      <alignment horizontal="center" vertical="center"/>
    </xf>
    <xf numFmtId="0" fontId="13" fillId="19" borderId="4" xfId="0" applyFont="1" applyFill="1" applyBorder="1" applyAlignment="1">
      <alignment horizontal="center" vertical="center"/>
    </xf>
    <xf numFmtId="166" fontId="18" fillId="19" borderId="5" xfId="0" applyNumberFormat="1" applyFont="1" applyFill="1" applyBorder="1" applyAlignment="1">
      <alignment horizontal="center" vertical="center"/>
    </xf>
    <xf numFmtId="166" fontId="18" fillId="19" borderId="0" xfId="0" applyNumberFormat="1" applyFont="1" applyFill="1" applyAlignment="1">
      <alignment horizontal="center" vertical="center"/>
    </xf>
    <xf numFmtId="166" fontId="18" fillId="19" borderId="6" xfId="0" applyNumberFormat="1" applyFont="1" applyFill="1" applyBorder="1" applyAlignment="1">
      <alignment horizontal="center" vertical="center"/>
    </xf>
    <xf numFmtId="0" fontId="0" fillId="19" borderId="5" xfId="0" applyFill="1" applyBorder="1"/>
    <xf numFmtId="0" fontId="0" fillId="19" borderId="0" xfId="0" applyFill="1"/>
    <xf numFmtId="0" fontId="0" fillId="19" borderId="6" xfId="0" applyFill="1" applyBorder="1"/>
    <xf numFmtId="166" fontId="13" fillId="19" borderId="5" xfId="0" applyNumberFormat="1" applyFont="1" applyFill="1" applyBorder="1" applyAlignment="1">
      <alignment horizontal="center" vertical="center"/>
    </xf>
    <xf numFmtId="166" fontId="13" fillId="19" borderId="0" xfId="0" applyNumberFormat="1" applyFont="1" applyFill="1" applyAlignment="1">
      <alignment horizontal="center" vertical="center"/>
    </xf>
    <xf numFmtId="166" fontId="13" fillId="19" borderId="6" xfId="0" applyNumberFormat="1" applyFont="1" applyFill="1" applyBorder="1" applyAlignment="1">
      <alignment horizontal="center" vertical="center"/>
    </xf>
    <xf numFmtId="0" fontId="15" fillId="7" borderId="2" xfId="0" applyFont="1" applyFill="1" applyBorder="1"/>
    <xf numFmtId="0" fontId="15" fillId="7" borderId="3" xfId="0" applyFont="1" applyFill="1" applyBorder="1"/>
    <xf numFmtId="167" fontId="9" fillId="4" borderId="8" xfId="3" applyNumberFormat="1" applyFont="1" applyBorder="1" applyAlignment="1">
      <alignment horizontal="center"/>
    </xf>
    <xf numFmtId="167" fontId="9" fillId="4" borderId="9" xfId="3" applyNumberFormat="1" applyFont="1" applyBorder="1" applyAlignment="1">
      <alignment horizontal="center"/>
    </xf>
    <xf numFmtId="167" fontId="9" fillId="4" borderId="0" xfId="3" applyNumberFormat="1" applyFont="1" applyBorder="1" applyAlignment="1">
      <alignment horizontal="center"/>
    </xf>
    <xf numFmtId="167" fontId="9" fillId="4" borderId="6" xfId="3" applyNumberFormat="1" applyFont="1" applyBorder="1" applyAlignment="1">
      <alignment horizontal="center"/>
    </xf>
    <xf numFmtId="0" fontId="9" fillId="4" borderId="5" xfId="3" applyFont="1" applyBorder="1"/>
    <xf numFmtId="0" fontId="9" fillId="4" borderId="0" xfId="3" applyFont="1" applyBorder="1"/>
    <xf numFmtId="14" fontId="12" fillId="15" borderId="3" xfId="0" applyNumberFormat="1" applyFont="1" applyFill="1" applyBorder="1" applyAlignment="1">
      <alignment horizontal="center" vertical="center"/>
    </xf>
    <xf numFmtId="14" fontId="12" fillId="15" borderId="4" xfId="0" applyNumberFormat="1" applyFont="1" applyFill="1" applyBorder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21" borderId="6" xfId="0" applyFont="1" applyFill="1" applyBorder="1" applyAlignment="1">
      <alignment horizontal="center" vertical="center"/>
    </xf>
    <xf numFmtId="0" fontId="12" fillId="21" borderId="0" xfId="0" applyFont="1" applyFill="1" applyAlignment="1">
      <alignment horizontal="center" vertical="center"/>
    </xf>
    <xf numFmtId="0" fontId="12" fillId="21" borderId="6" xfId="0" applyFont="1" applyFill="1" applyBorder="1" applyAlignment="1">
      <alignment horizontal="center" vertical="center"/>
    </xf>
    <xf numFmtId="165" fontId="23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10" fillId="21" borderId="0" xfId="0" applyFont="1" applyFill="1" applyAlignment="1">
      <alignment horizontal="center" vertical="center" wrapText="1"/>
    </xf>
    <xf numFmtId="0" fontId="10" fillId="21" borderId="6" xfId="0" applyFont="1" applyFill="1" applyBorder="1" applyAlignment="1">
      <alignment horizontal="center" vertical="center" wrapText="1"/>
    </xf>
    <xf numFmtId="165" fontId="8" fillId="0" borderId="8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13" fillId="14" borderId="2" xfId="0" applyFont="1" applyFill="1" applyBorder="1" applyAlignment="1">
      <alignment horizontal="left" vertical="center"/>
    </xf>
    <xf numFmtId="0" fontId="13" fillId="14" borderId="3" xfId="0" applyFont="1" applyFill="1" applyBorder="1" applyAlignment="1">
      <alignment horizontal="left" vertical="center"/>
    </xf>
    <xf numFmtId="0" fontId="13" fillId="14" borderId="4" xfId="0" applyFont="1" applyFill="1" applyBorder="1" applyAlignment="1">
      <alignment horizontal="left" vertical="center"/>
    </xf>
    <xf numFmtId="0" fontId="11" fillId="9" borderId="3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0" fontId="11" fillId="9" borderId="6" xfId="0" applyFont="1" applyFill="1" applyBorder="1" applyAlignment="1">
      <alignment horizontal="center" vertical="center" wrapText="1"/>
    </xf>
    <xf numFmtId="0" fontId="3" fillId="8" borderId="7" xfId="0" applyFont="1" applyFill="1" applyBorder="1"/>
    <xf numFmtId="0" fontId="3" fillId="8" borderId="8" xfId="0" applyFont="1" applyFill="1" applyBorder="1"/>
    <xf numFmtId="0" fontId="11" fillId="9" borderId="2" xfId="0" applyFont="1" applyFill="1" applyBorder="1" applyAlignment="1">
      <alignment vertical="center" wrapText="1"/>
    </xf>
    <xf numFmtId="0" fontId="11" fillId="9" borderId="5" xfId="0" applyFont="1" applyFill="1" applyBorder="1" applyAlignment="1">
      <alignment vertical="center" wrapText="1"/>
    </xf>
    <xf numFmtId="167" fontId="2" fillId="2" borderId="0" xfId="1" applyNumberFormat="1" applyBorder="1" applyAlignment="1"/>
    <xf numFmtId="167" fontId="2" fillId="2" borderId="6" xfId="1" applyNumberFormat="1" applyBorder="1" applyAlignment="1"/>
    <xf numFmtId="167" fontId="2" fillId="2" borderId="8" xfId="1" applyNumberFormat="1" applyBorder="1" applyAlignment="1"/>
    <xf numFmtId="167" fontId="2" fillId="2" borderId="9" xfId="1" applyNumberFormat="1" applyBorder="1" applyAlignment="1"/>
    <xf numFmtId="0" fontId="11" fillId="13" borderId="0" xfId="0" applyFont="1" applyFill="1" applyAlignment="1">
      <alignment horizontal="right"/>
    </xf>
    <xf numFmtId="0" fontId="11" fillId="13" borderId="6" xfId="0" applyFont="1" applyFill="1" applyBorder="1" applyAlignment="1">
      <alignment horizontal="right"/>
    </xf>
    <xf numFmtId="0" fontId="17" fillId="10" borderId="0" xfId="0" applyFont="1" applyFill="1" applyAlignment="1">
      <alignment horizontal="left" vertical="center"/>
    </xf>
  </cellXfs>
  <cellStyles count="6">
    <cellStyle name="20% - Accent6" xfId="4" builtinId="50"/>
    <cellStyle name="Accent2" xfId="2" builtinId="33"/>
    <cellStyle name="Accent5" xfId="3" builtinId="45"/>
    <cellStyle name="Neutral" xfId="1" builtinId="28"/>
    <cellStyle name="Normal" xfId="0" builtinId="0"/>
    <cellStyle name="Style 1" xfId="5" xr:uid="{C19F437E-B079-4BFF-A346-CA40E365FA41}"/>
  </cellStyles>
  <dxfs count="11"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</dxf>
    <dxf>
      <font>
        <b/>
        <i val="0"/>
        <color rgb="FF00B050"/>
      </font>
      <fill>
        <patternFill patternType="solid">
          <bgColor theme="6" tint="0.59996337778862885"/>
        </patternFill>
      </fill>
    </dxf>
    <dxf>
      <font>
        <color rgb="FFFF0000"/>
      </font>
      <fill>
        <patternFill patternType="solid">
          <bgColor theme="6" tint="0.59996337778862885"/>
        </patternFill>
      </fill>
    </dxf>
    <dxf>
      <font>
        <color rgb="FF002060"/>
      </font>
      <fill>
        <patternFill patternType="solid">
          <bgColor theme="6" tint="0.59996337778862885"/>
        </patternFill>
      </fill>
    </dxf>
    <dxf>
      <font>
        <b/>
        <i val="0"/>
        <color theme="3" tint="0.499984740745262"/>
      </font>
      <fill>
        <patternFill patternType="solid">
          <bgColor theme="6" tint="0.59996337778862885"/>
        </patternFill>
      </fill>
    </dxf>
  </dxfs>
  <tableStyles count="0" defaultTableStyle="TableStyleMedium2" defaultPivotStyle="PivotStyleLight16"/>
  <colors>
    <mruColors>
      <color rgb="FFEAEAEA"/>
      <color rgb="FFDAFE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800" b="1">
                <a:latin typeface="Times New Roman" panose="02020603050405020304" pitchFamily="18" charset="0"/>
                <a:cs typeface="Times New Roman" panose="02020603050405020304" pitchFamily="18" charset="0"/>
              </a:rPr>
              <a:t>Actual Expenses</a:t>
            </a:r>
          </a:p>
        </c:rich>
      </c:tx>
      <c:layout>
        <c:manualLayout>
          <c:xMode val="edge"/>
          <c:yMode val="edge"/>
          <c:x val="1.8091586421700317E-2"/>
          <c:y val="1.3262322472848788E-2"/>
        </c:manualLayout>
      </c:layout>
      <c:overlay val="0"/>
      <c:spPr>
        <a:solidFill>
          <a:schemeClr val="accent3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PK"/>
        </a:p>
      </c:txPr>
    </c:title>
    <c:autoTitleDeleted val="0"/>
    <c:plotArea>
      <c:layout>
        <c:manualLayout>
          <c:layoutTarget val="inner"/>
          <c:xMode val="edge"/>
          <c:yMode val="edge"/>
          <c:x val="0.22476155547981813"/>
          <c:y val="0.13381267437225985"/>
          <c:w val="0.68610014105626072"/>
          <c:h val="0.78117450234867269"/>
        </c:manualLayout>
      </c:layout>
      <c:barChart>
        <c:barDir val="bar"/>
        <c:grouping val="clustered"/>
        <c:varyColors val="0"/>
        <c:ser>
          <c:idx val="0"/>
          <c:order val="0"/>
          <c:tx>
            <c:v>series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Summary!$A$23:$A$39</c:f>
              <c:strCache>
                <c:ptCount val="17"/>
                <c:pt idx="0">
                  <c:v>Groceries</c:v>
                </c:pt>
                <c:pt idx="1">
                  <c:v>Fruits &amp; Vegetables</c:v>
                </c:pt>
                <c:pt idx="2">
                  <c:v>House Help Workers</c:v>
                </c:pt>
                <c:pt idx="3">
                  <c:v>Milk</c:v>
                </c:pt>
                <c:pt idx="4">
                  <c:v>Utilities</c:v>
                </c:pt>
                <c:pt idx="5">
                  <c:v>Transportation</c:v>
                </c:pt>
                <c:pt idx="6">
                  <c:v>Health</c:v>
                </c:pt>
                <c:pt idx="7">
                  <c:v>Chicken &amp; Meat</c:v>
                </c:pt>
                <c:pt idx="8">
                  <c:v>Education</c:v>
                </c:pt>
                <c:pt idx="9">
                  <c:v>Clothes &amp; Shoes Shopping</c:v>
                </c:pt>
                <c:pt idx="10">
                  <c:v>Entertainment</c:v>
                </c:pt>
                <c:pt idx="11">
                  <c:v>Taxes</c:v>
                </c:pt>
                <c:pt idx="12">
                  <c:v>Personal Care</c:v>
                </c:pt>
                <c:pt idx="13">
                  <c:v>Insurance</c:v>
                </c:pt>
                <c:pt idx="14">
                  <c:v>Ramazan Preparation</c:v>
                </c:pt>
                <c:pt idx="15">
                  <c:v>Miscellaneous Expenses</c:v>
                </c:pt>
                <c:pt idx="16">
                  <c:v>Gifts and Charity</c:v>
                </c:pt>
              </c:strCache>
            </c:strRef>
          </c:cat>
          <c:val>
            <c:numRef>
              <c:f>Summary!$B$23:$B$39</c:f>
              <c:numCache>
                <c:formatCode>"Rs"#,##0</c:formatCode>
                <c:ptCount val="17"/>
                <c:pt idx="0">
                  <c:v>118000</c:v>
                </c:pt>
                <c:pt idx="1">
                  <c:v>22600</c:v>
                </c:pt>
                <c:pt idx="2">
                  <c:v>77500</c:v>
                </c:pt>
                <c:pt idx="3">
                  <c:v>11900</c:v>
                </c:pt>
                <c:pt idx="4">
                  <c:v>65300</c:v>
                </c:pt>
                <c:pt idx="5">
                  <c:v>60200</c:v>
                </c:pt>
                <c:pt idx="6">
                  <c:v>27300</c:v>
                </c:pt>
                <c:pt idx="7">
                  <c:v>28700</c:v>
                </c:pt>
                <c:pt idx="8">
                  <c:v>106000</c:v>
                </c:pt>
                <c:pt idx="9">
                  <c:v>115000</c:v>
                </c:pt>
                <c:pt idx="10">
                  <c:v>75000</c:v>
                </c:pt>
                <c:pt idx="11">
                  <c:v>150000</c:v>
                </c:pt>
                <c:pt idx="12">
                  <c:v>43500</c:v>
                </c:pt>
                <c:pt idx="13">
                  <c:v>54000</c:v>
                </c:pt>
                <c:pt idx="14">
                  <c:v>67000</c:v>
                </c:pt>
                <c:pt idx="15">
                  <c:v>29500</c:v>
                </c:pt>
                <c:pt idx="1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F-483F-86FF-1C87DBDDB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overlap val="-20"/>
        <c:axId val="752716920"/>
        <c:axId val="752718720"/>
      </c:barChart>
      <c:catAx>
        <c:axId val="752716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PK"/>
          </a:p>
        </c:txPr>
        <c:crossAx val="752718720"/>
        <c:crosses val="autoZero"/>
        <c:auto val="1"/>
        <c:lblAlgn val="ctr"/>
        <c:lblOffset val="100"/>
        <c:noMultiLvlLbl val="0"/>
      </c:catAx>
      <c:valAx>
        <c:axId val="75271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s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527169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800" b="1">
                <a:latin typeface="Times New Roman" panose="02020603050405020304" pitchFamily="18" charset="0"/>
                <a:cs typeface="Times New Roman" panose="02020603050405020304" pitchFamily="18" charset="0"/>
              </a:rPr>
              <a:t>Income Contribution</a:t>
            </a:r>
          </a:p>
        </c:rich>
      </c:tx>
      <c:layout>
        <c:manualLayout>
          <c:xMode val="edge"/>
          <c:yMode val="edge"/>
          <c:x val="7.5771834712116898E-3"/>
          <c:y val="2.7210884353741496E-2"/>
        </c:manualLayout>
      </c:layout>
      <c:overlay val="0"/>
      <c:spPr>
        <a:solidFill>
          <a:schemeClr val="accent3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PK"/>
        </a:p>
      </c:txPr>
    </c:title>
    <c:autoTitleDeleted val="0"/>
    <c:plotArea>
      <c:layout>
        <c:manualLayout>
          <c:layoutTarget val="inner"/>
          <c:xMode val="edge"/>
          <c:yMode val="edge"/>
          <c:x val="0.31453997131567818"/>
          <c:y val="0.2369185994607817"/>
          <c:w val="0.31001334008853176"/>
          <c:h val="0.6716956808970306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1B-4D3D-BBDE-227A1B39D4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1B-4D3D-BBDE-227A1B39D4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F1B-4D3D-BBDE-227A1B39D4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1B-4D3D-BBDE-227A1B39D40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F1B-4D3D-BBDE-227A1B39D401}"/>
              </c:ext>
            </c:extLst>
          </c:dPt>
          <c:dLbls>
            <c:dLbl>
              <c:idx val="0"/>
              <c:layout>
                <c:manualLayout>
                  <c:x val="0.11944444444444445"/>
                  <c:y val="-0.12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1B-4D3D-BBDE-227A1B39D401}"/>
                </c:ext>
              </c:extLst>
            </c:dLbl>
            <c:dLbl>
              <c:idx val="1"/>
              <c:layout>
                <c:manualLayout>
                  <c:x val="-3.3333333333333333E-2"/>
                  <c:y val="8.33333333333331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1B-4D3D-BBDE-227A1B39D401}"/>
                </c:ext>
              </c:extLst>
            </c:dLbl>
            <c:dLbl>
              <c:idx val="2"/>
              <c:layout>
                <c:manualLayout>
                  <c:x val="-0.10833333333333334"/>
                  <c:y val="1.85185185185185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1B-4D3D-BBDE-227A1B39D401}"/>
                </c:ext>
              </c:extLst>
            </c:dLbl>
            <c:dLbl>
              <c:idx val="3"/>
              <c:layout>
                <c:manualLayout>
                  <c:x val="-0.1166666666666667"/>
                  <c:y val="-4.62962962962963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1B-4D3D-BBDE-227A1B39D401}"/>
                </c:ext>
              </c:extLst>
            </c:dLbl>
            <c:dLbl>
              <c:idx val="4"/>
              <c:layout>
                <c:manualLayout>
                  <c:x val="-2.5000000000000001E-2"/>
                  <c:y val="-0.15740740740740741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1B-4D3D-BBDE-227A1B39D40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Summary!$A$15:$A$19</c:f>
              <c:strCache>
                <c:ptCount val="5"/>
                <c:pt idx="0">
                  <c:v>Salary</c:v>
                </c:pt>
                <c:pt idx="1">
                  <c:v>Freelancing</c:v>
                </c:pt>
                <c:pt idx="2">
                  <c:v>Apartment Rent</c:v>
                </c:pt>
                <c:pt idx="3">
                  <c:v>Business</c:v>
                </c:pt>
                <c:pt idx="4">
                  <c:v>Car Rent</c:v>
                </c:pt>
              </c:strCache>
            </c:strRef>
          </c:cat>
          <c:val>
            <c:numRef>
              <c:f>Summary!$B$15:$B$19</c:f>
              <c:numCache>
                <c:formatCode>"Rs"#,##0</c:formatCode>
                <c:ptCount val="5"/>
                <c:pt idx="0">
                  <c:v>750000</c:v>
                </c:pt>
                <c:pt idx="1">
                  <c:v>310000</c:v>
                </c:pt>
                <c:pt idx="2">
                  <c:v>225000</c:v>
                </c:pt>
                <c:pt idx="3">
                  <c:v>310000</c:v>
                </c:pt>
                <c:pt idx="4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1B-4D3D-BBDE-227A1B39D40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310608048993879"/>
          <c:y val="0.24007946923301254"/>
          <c:w val="0.1974494750656168"/>
          <c:h val="0.5248869932925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77215577094562"/>
          <c:y val="0.15044946632675549"/>
          <c:w val="0.37185111400689996"/>
          <c:h val="0.7992316114652173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D94-4B60-BC0D-35CD8C7B78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94-4B60-BC0D-35CD8C7B78ED}"/>
              </c:ext>
            </c:extLst>
          </c:dPt>
          <c:dLbls>
            <c:dLbl>
              <c:idx val="0"/>
              <c:layout>
                <c:manualLayout>
                  <c:x val="0.20029611509865139"/>
                  <c:y val="1.217393388211893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94-4B60-BC0D-35CD8C7B78ED}"/>
                </c:ext>
              </c:extLst>
            </c:dLbl>
            <c:dLbl>
              <c:idx val="1"/>
              <c:layout>
                <c:manualLayout>
                  <c:x val="-0.15941935691525316"/>
                  <c:y val="-0.109565404939070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94-4B60-BC0D-35CD8C7B78E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non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January!$B$8:$C$9</c:f>
              <c:strCache>
                <c:ptCount val="2"/>
                <c:pt idx="0">
                  <c:v>Total Income</c:v>
                </c:pt>
                <c:pt idx="1">
                  <c:v>Total Expanses</c:v>
                </c:pt>
              </c:strCache>
            </c:strRef>
          </c:cat>
          <c:val>
            <c:numRef>
              <c:f>January!$D$8:$D$9</c:f>
              <c:numCache>
                <c:formatCode>"Rs"#,##0</c:formatCode>
                <c:ptCount val="2"/>
                <c:pt idx="0">
                  <c:v>585000</c:v>
                </c:pt>
                <c:pt idx="1">
                  <c:v>337900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4-4B60-BC0D-35CD8C7B7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85103453215631"/>
          <c:y val="0.14731231450023388"/>
          <c:w val="0.68610014105626072"/>
          <c:h val="0.7811745023486726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January!$P$16:$P$31</c:f>
              <c:strCache>
                <c:ptCount val="16"/>
                <c:pt idx="0">
                  <c:v>Groceries</c:v>
                </c:pt>
                <c:pt idx="1">
                  <c:v>Fruits &amp; Vegetables</c:v>
                </c:pt>
                <c:pt idx="2">
                  <c:v>House Help Workers</c:v>
                </c:pt>
                <c:pt idx="3">
                  <c:v>Milk</c:v>
                </c:pt>
                <c:pt idx="4">
                  <c:v>Utilities</c:v>
                </c:pt>
                <c:pt idx="5">
                  <c:v>Transportation</c:v>
                </c:pt>
                <c:pt idx="6">
                  <c:v>Health</c:v>
                </c:pt>
                <c:pt idx="7">
                  <c:v>Chicken &amp; Meat</c:v>
                </c:pt>
                <c:pt idx="8">
                  <c:v>Education</c:v>
                </c:pt>
                <c:pt idx="9">
                  <c:v>Clothes &amp; Shoes Shopping</c:v>
                </c:pt>
                <c:pt idx="10">
                  <c:v>Entertainment</c:v>
                </c:pt>
                <c:pt idx="11">
                  <c:v>Taxes</c:v>
                </c:pt>
                <c:pt idx="12">
                  <c:v>Personal Care</c:v>
                </c:pt>
                <c:pt idx="13">
                  <c:v>Insurance</c:v>
                </c:pt>
                <c:pt idx="14">
                  <c:v>Ramazan Preparation</c:v>
                </c:pt>
                <c:pt idx="15">
                  <c:v>Miscellaneous Expenses</c:v>
                </c:pt>
              </c:strCache>
            </c:strRef>
          </c:cat>
          <c:val>
            <c:numRef>
              <c:f>January!$Q$16:$Q$31</c:f>
              <c:numCache>
                <c:formatCode>"Rs"#,##0</c:formatCode>
                <c:ptCount val="16"/>
                <c:pt idx="0">
                  <c:v>36500</c:v>
                </c:pt>
                <c:pt idx="1">
                  <c:v>6200</c:v>
                </c:pt>
                <c:pt idx="2">
                  <c:v>25500</c:v>
                </c:pt>
                <c:pt idx="3">
                  <c:v>3600</c:v>
                </c:pt>
                <c:pt idx="4">
                  <c:v>27600</c:v>
                </c:pt>
                <c:pt idx="5">
                  <c:v>18500</c:v>
                </c:pt>
                <c:pt idx="6">
                  <c:v>9800</c:v>
                </c:pt>
                <c:pt idx="7">
                  <c:v>8200</c:v>
                </c:pt>
                <c:pt idx="8">
                  <c:v>35000</c:v>
                </c:pt>
                <c:pt idx="9">
                  <c:v>40000</c:v>
                </c:pt>
                <c:pt idx="10">
                  <c:v>25000</c:v>
                </c:pt>
                <c:pt idx="11">
                  <c:v>50000</c:v>
                </c:pt>
                <c:pt idx="12">
                  <c:v>12000</c:v>
                </c:pt>
                <c:pt idx="13">
                  <c:v>18000</c:v>
                </c:pt>
                <c:pt idx="14">
                  <c:v>13000</c:v>
                </c:pt>
                <c:pt idx="15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0-4F8E-869E-55A551CC3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overlap val="-20"/>
        <c:axId val="752716920"/>
        <c:axId val="752718720"/>
      </c:barChart>
      <c:catAx>
        <c:axId val="752716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PK"/>
          </a:p>
        </c:txPr>
        <c:crossAx val="752718720"/>
        <c:crosses val="autoZero"/>
        <c:auto val="1"/>
        <c:lblAlgn val="ctr"/>
        <c:lblOffset val="100"/>
        <c:noMultiLvlLbl val="0"/>
      </c:catAx>
      <c:valAx>
        <c:axId val="75271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s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527169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F79-4882-8D69-0482A3D41E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79-4882-8D69-0482A3D41E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F79-4882-8D69-0482A3D41E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F79-4882-8D69-0482A3D41E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F79-4882-8D69-0482A3D41E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F79-4882-8D69-0482A3D41EC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9-4882-8D69-0482A3D41EC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F79-4882-8D69-0482A3D41EC6}"/>
                </c:ext>
              </c:extLst>
            </c:dLbl>
            <c:dLbl>
              <c:idx val="2"/>
              <c:layout>
                <c:manualLayout>
                  <c:x val="-5.7750418421808704E-2"/>
                  <c:y val="-2.5092805742036925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06431555072745"/>
                      <c:h val="0.253798955870416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F79-4882-8D69-0482A3D41EC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7F79-4882-8D69-0482A3D41EC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7F79-4882-8D69-0482A3D41EC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7F79-4882-8D69-0482A3D41EC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January!$I$14:$I$19</c:f>
              <c:strCache>
                <c:ptCount val="6"/>
                <c:pt idx="0">
                  <c:v>Income Sources</c:v>
                </c:pt>
                <c:pt idx="1">
                  <c:v>Salary</c:v>
                </c:pt>
                <c:pt idx="2">
                  <c:v>Freelancing</c:v>
                </c:pt>
                <c:pt idx="3">
                  <c:v>Apartment Rent</c:v>
                </c:pt>
                <c:pt idx="4">
                  <c:v>Business</c:v>
                </c:pt>
                <c:pt idx="5">
                  <c:v>Car Rent</c:v>
                </c:pt>
              </c:strCache>
            </c:strRef>
          </c:cat>
          <c:val>
            <c:numRef>
              <c:f>January!$J$14:$J$19</c:f>
              <c:numCache>
                <c:formatCode>"Rs"#,##0</c:formatCode>
                <c:ptCount val="6"/>
                <c:pt idx="0" formatCode="General">
                  <c:v>0</c:v>
                </c:pt>
                <c:pt idx="1">
                  <c:v>250000</c:v>
                </c:pt>
                <c:pt idx="2">
                  <c:v>125000</c:v>
                </c:pt>
                <c:pt idx="3">
                  <c:v>75000</c:v>
                </c:pt>
                <c:pt idx="4">
                  <c:v>110000</c:v>
                </c:pt>
                <c:pt idx="5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9-4882-8D69-0482A3D41EC6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7F79-4882-8D69-0482A3D41EC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7F79-4882-8D69-0482A3D41EC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January!$I$14:$I$19</c:f>
              <c:strCache>
                <c:ptCount val="6"/>
                <c:pt idx="0">
                  <c:v>Income Sources</c:v>
                </c:pt>
                <c:pt idx="1">
                  <c:v>Salary</c:v>
                </c:pt>
                <c:pt idx="2">
                  <c:v>Freelancing</c:v>
                </c:pt>
                <c:pt idx="3">
                  <c:v>Apartment Rent</c:v>
                </c:pt>
                <c:pt idx="4">
                  <c:v>Business</c:v>
                </c:pt>
                <c:pt idx="5">
                  <c:v>Car Rent</c:v>
                </c:pt>
              </c:strCache>
            </c:strRef>
          </c:cat>
          <c:val>
            <c:numRef>
              <c:f>January!#REF!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9-4882-8D69-0482A3D41EC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January!$B$44:$B$46</c:f>
              <c:strCache>
                <c:ptCount val="3"/>
                <c:pt idx="0">
                  <c:v>&gt;10000</c:v>
                </c:pt>
                <c:pt idx="1">
                  <c:v>10000&lt;  &amp; &lt; 6000</c:v>
                </c:pt>
                <c:pt idx="2">
                  <c:v>&gt; 6000</c:v>
                </c:pt>
              </c:strCache>
            </c:strRef>
          </c:cat>
          <c:val>
            <c:numRef>
              <c:f>January!$F$44:$F$46</c:f>
              <c:numCache>
                <c:formatCode>General</c:formatCode>
                <c:ptCount val="3"/>
                <c:pt idx="0">
                  <c:v>11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5-4288-A776-AB30E587F6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9"/>
        <c:overlap val="-11"/>
        <c:axId val="1230995592"/>
        <c:axId val="1231003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PK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January!$B$44:$B$46</c15:sqref>
                        </c15:formulaRef>
                      </c:ext>
                    </c:extLst>
                    <c:strCache>
                      <c:ptCount val="3"/>
                      <c:pt idx="0">
                        <c:v>&gt;10000</c:v>
                      </c:pt>
                      <c:pt idx="1">
                        <c:v>10000&lt;  &amp; &lt; 6000</c:v>
                      </c:pt>
                      <c:pt idx="2">
                        <c:v>&gt; 6000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January!$C$44:$C$46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0A5-4288-A776-AB30E587F6FD}"/>
                  </c:ext>
                </c:extLst>
              </c15:ser>
            </c15:filteredBarSeries>
          </c:ext>
        </c:extLst>
      </c:barChart>
      <c:catAx>
        <c:axId val="1230995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231003872"/>
        <c:crosses val="autoZero"/>
        <c:auto val="1"/>
        <c:lblAlgn val="ctr"/>
        <c:lblOffset val="100"/>
        <c:noMultiLvlLbl val="0"/>
      </c:catAx>
      <c:valAx>
        <c:axId val="1231003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099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77215577094562"/>
          <c:y val="0.15044946632675549"/>
          <c:w val="0.37185111400689996"/>
          <c:h val="0.7992316114652173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D33-4441-8B84-B73CB7A61D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D33-4441-8B84-B73CB7A61D71}"/>
              </c:ext>
            </c:extLst>
          </c:dPt>
          <c:dLbls>
            <c:dLbl>
              <c:idx val="0"/>
              <c:layout>
                <c:manualLayout>
                  <c:x val="0.20029611509865139"/>
                  <c:y val="1.217393388211893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33-4441-8B84-B73CB7A61D71}"/>
                </c:ext>
              </c:extLst>
            </c:dLbl>
            <c:dLbl>
              <c:idx val="1"/>
              <c:layout>
                <c:manualLayout>
                  <c:x val="-0.15941935691525316"/>
                  <c:y val="-0.109565404939070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33-4441-8B84-B73CB7A61D7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non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February!$B$8:$C$9</c:f>
              <c:strCache>
                <c:ptCount val="2"/>
                <c:pt idx="0">
                  <c:v>Total Income</c:v>
                </c:pt>
                <c:pt idx="1">
                  <c:v>Total Expanses</c:v>
                </c:pt>
              </c:strCache>
            </c:strRef>
          </c:cat>
          <c:val>
            <c:numRef>
              <c:f>February!$D$8:$D$9</c:f>
              <c:numCache>
                <c:formatCode>"Rs"#,##0</c:formatCode>
                <c:ptCount val="2"/>
                <c:pt idx="0">
                  <c:v>490000</c:v>
                </c:pt>
                <c:pt idx="1">
                  <c:v>310200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33-4441-8B84-B73CB7A61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85103453215631"/>
          <c:y val="0.14731231450023388"/>
          <c:w val="0.68610014105626072"/>
          <c:h val="0.7811745023486726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February!$P$16:$P$31</c:f>
              <c:strCache>
                <c:ptCount val="16"/>
                <c:pt idx="0">
                  <c:v>Groceries</c:v>
                </c:pt>
                <c:pt idx="1">
                  <c:v>Fruits &amp; Vegetables</c:v>
                </c:pt>
                <c:pt idx="2">
                  <c:v>House Help Workers</c:v>
                </c:pt>
                <c:pt idx="3">
                  <c:v>Milk</c:v>
                </c:pt>
                <c:pt idx="4">
                  <c:v>Utilities</c:v>
                </c:pt>
                <c:pt idx="5">
                  <c:v>Transportation</c:v>
                </c:pt>
                <c:pt idx="6">
                  <c:v>Health</c:v>
                </c:pt>
                <c:pt idx="7">
                  <c:v>Chicken &amp; Meat</c:v>
                </c:pt>
                <c:pt idx="8">
                  <c:v>Education</c:v>
                </c:pt>
                <c:pt idx="9">
                  <c:v>Clothes &amp; Shoes Shopping</c:v>
                </c:pt>
                <c:pt idx="10">
                  <c:v>Entertainment</c:v>
                </c:pt>
                <c:pt idx="11">
                  <c:v>Taxes</c:v>
                </c:pt>
                <c:pt idx="12">
                  <c:v>Personal Care</c:v>
                </c:pt>
                <c:pt idx="13">
                  <c:v>Insurance</c:v>
                </c:pt>
                <c:pt idx="14">
                  <c:v>Ramazan Preparation</c:v>
                </c:pt>
                <c:pt idx="15">
                  <c:v>Miscellaneous Expenses</c:v>
                </c:pt>
              </c:strCache>
            </c:strRef>
          </c:cat>
          <c:val>
            <c:numRef>
              <c:f>February!$Q$16:$Q$31</c:f>
              <c:numCache>
                <c:formatCode>"Rs"#,##0</c:formatCode>
                <c:ptCount val="16"/>
                <c:pt idx="0">
                  <c:v>31000</c:v>
                </c:pt>
                <c:pt idx="1">
                  <c:v>7400</c:v>
                </c:pt>
                <c:pt idx="2">
                  <c:v>26000</c:v>
                </c:pt>
                <c:pt idx="3">
                  <c:v>3800</c:v>
                </c:pt>
                <c:pt idx="4">
                  <c:v>18000</c:v>
                </c:pt>
                <c:pt idx="5">
                  <c:v>19700</c:v>
                </c:pt>
                <c:pt idx="6">
                  <c:v>7300</c:v>
                </c:pt>
                <c:pt idx="7">
                  <c:v>9000</c:v>
                </c:pt>
                <c:pt idx="8">
                  <c:v>36000</c:v>
                </c:pt>
                <c:pt idx="9">
                  <c:v>30000</c:v>
                </c:pt>
                <c:pt idx="10">
                  <c:v>20000</c:v>
                </c:pt>
                <c:pt idx="11">
                  <c:v>50000</c:v>
                </c:pt>
                <c:pt idx="12">
                  <c:v>15500</c:v>
                </c:pt>
                <c:pt idx="13">
                  <c:v>18000</c:v>
                </c:pt>
                <c:pt idx="14">
                  <c:v>10500</c:v>
                </c:pt>
                <c:pt idx="15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5-48C9-ABE8-D1807D9CB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overlap val="-20"/>
        <c:axId val="752716920"/>
        <c:axId val="752718720"/>
      </c:barChart>
      <c:catAx>
        <c:axId val="752716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PK"/>
          </a:p>
        </c:txPr>
        <c:crossAx val="752718720"/>
        <c:crosses val="autoZero"/>
        <c:auto val="1"/>
        <c:lblAlgn val="ctr"/>
        <c:lblOffset val="100"/>
        <c:noMultiLvlLbl val="0"/>
      </c:catAx>
      <c:valAx>
        <c:axId val="75271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s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527169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58-4320-A9AF-15298D1003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58-4320-A9AF-15298D1003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58-4320-A9AF-15298D1003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58-4320-A9AF-15298D10035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58-4320-A9AF-15298D10035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E58-4320-A9AF-15298D10035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58-4320-A9AF-15298D10035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E58-4320-A9AF-15298D100350}"/>
                </c:ext>
              </c:extLst>
            </c:dLbl>
            <c:dLbl>
              <c:idx val="2"/>
              <c:layout>
                <c:manualLayout>
                  <c:x val="-5.7750418421808704E-2"/>
                  <c:y val="-2.5092805742036925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06431555072745"/>
                      <c:h val="0.253798955870416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E58-4320-A9AF-15298D10035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E58-4320-A9AF-15298D10035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E58-4320-A9AF-15298D10035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E58-4320-A9AF-15298D10035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February!$I$14:$I$19</c:f>
              <c:strCache>
                <c:ptCount val="6"/>
                <c:pt idx="0">
                  <c:v>Income Sources</c:v>
                </c:pt>
                <c:pt idx="1">
                  <c:v>Salary</c:v>
                </c:pt>
                <c:pt idx="2">
                  <c:v>Freelancing</c:v>
                </c:pt>
                <c:pt idx="3">
                  <c:v>Apartment Rent</c:v>
                </c:pt>
                <c:pt idx="4">
                  <c:v>Business</c:v>
                </c:pt>
                <c:pt idx="5">
                  <c:v>Car Rent</c:v>
                </c:pt>
              </c:strCache>
            </c:strRef>
          </c:cat>
          <c:val>
            <c:numRef>
              <c:f>February!$J$14:$J$19</c:f>
              <c:numCache>
                <c:formatCode>"Rs"#,##0</c:formatCode>
                <c:ptCount val="6"/>
                <c:pt idx="0" formatCode="General">
                  <c:v>0</c:v>
                </c:pt>
                <c:pt idx="1">
                  <c:v>250000</c:v>
                </c:pt>
                <c:pt idx="2">
                  <c:v>45000</c:v>
                </c:pt>
                <c:pt idx="3">
                  <c:v>75000</c:v>
                </c:pt>
                <c:pt idx="4">
                  <c:v>95000</c:v>
                </c:pt>
                <c:pt idx="5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58-4320-A9AF-15298D10035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E58-4320-A9AF-15298D10035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5E58-4320-A9AF-15298D10035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February!$I$14:$I$19</c:f>
              <c:strCache>
                <c:ptCount val="6"/>
                <c:pt idx="0">
                  <c:v>Income Sources</c:v>
                </c:pt>
                <c:pt idx="1">
                  <c:v>Salary</c:v>
                </c:pt>
                <c:pt idx="2">
                  <c:v>Freelancing</c:v>
                </c:pt>
                <c:pt idx="3">
                  <c:v>Apartment Rent</c:v>
                </c:pt>
                <c:pt idx="4">
                  <c:v>Business</c:v>
                </c:pt>
                <c:pt idx="5">
                  <c:v>Car Rent</c:v>
                </c:pt>
              </c:strCache>
            </c:strRef>
          </c:cat>
          <c:val>
            <c:numRef>
              <c:f>January!#REF!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58-4320-A9AF-15298D10035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February!$B$44:$B$46</c:f>
              <c:strCache>
                <c:ptCount val="3"/>
                <c:pt idx="0">
                  <c:v>&gt;10000</c:v>
                </c:pt>
                <c:pt idx="1">
                  <c:v>10000&lt;  &amp; &lt; 6000</c:v>
                </c:pt>
                <c:pt idx="2">
                  <c:v>&gt; 6000</c:v>
                </c:pt>
              </c:strCache>
            </c:strRef>
          </c:cat>
          <c:val>
            <c:numRef>
              <c:f>February!$F$44:$F$46</c:f>
              <c:numCache>
                <c:formatCode>General</c:formatCode>
                <c:ptCount val="3"/>
                <c:pt idx="0">
                  <c:v>11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7-4963-9A66-80814FCFE6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9"/>
        <c:overlap val="-11"/>
        <c:axId val="1230995592"/>
        <c:axId val="1231003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PK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February!$B$44:$B$46</c15:sqref>
                        </c15:formulaRef>
                      </c:ext>
                    </c:extLst>
                    <c:strCache>
                      <c:ptCount val="3"/>
                      <c:pt idx="0">
                        <c:v>&gt;10000</c:v>
                      </c:pt>
                      <c:pt idx="1">
                        <c:v>10000&lt;  &amp; &lt; 6000</c:v>
                      </c:pt>
                      <c:pt idx="2">
                        <c:v>&gt; 6000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February!$C$44:$C$46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957-4963-9A66-80814FCFE666}"/>
                  </c:ext>
                </c:extLst>
              </c15:ser>
            </c15:filteredBarSeries>
          </c:ext>
        </c:extLst>
      </c:barChart>
      <c:catAx>
        <c:axId val="1230995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231003872"/>
        <c:crosses val="autoZero"/>
        <c:auto val="1"/>
        <c:lblAlgn val="ctr"/>
        <c:lblOffset val="100"/>
        <c:noMultiLvlLbl val="0"/>
      </c:catAx>
      <c:valAx>
        <c:axId val="1231003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099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77215577094562"/>
          <c:y val="0.15044946632675549"/>
          <c:w val="0.37185111400689996"/>
          <c:h val="0.7992316114652173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CF-44D8-A2DA-38A891EFF0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CF-44D8-A2DA-38A891EFF07A}"/>
              </c:ext>
            </c:extLst>
          </c:dPt>
          <c:dLbls>
            <c:dLbl>
              <c:idx val="0"/>
              <c:layout>
                <c:manualLayout>
                  <c:x val="0.20029611509865139"/>
                  <c:y val="1.217393388211893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CF-44D8-A2DA-38A891EFF07A}"/>
                </c:ext>
              </c:extLst>
            </c:dLbl>
            <c:dLbl>
              <c:idx val="1"/>
              <c:layout>
                <c:manualLayout>
                  <c:x val="-0.15941935691525316"/>
                  <c:y val="-0.109565404939070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CF-44D8-A2DA-38A891EFF07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non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March!$B$8:$C$9</c:f>
              <c:strCache>
                <c:ptCount val="2"/>
                <c:pt idx="0">
                  <c:v>Total Income</c:v>
                </c:pt>
                <c:pt idx="1">
                  <c:v>Total Expanses</c:v>
                </c:pt>
              </c:strCache>
            </c:strRef>
          </c:cat>
          <c:val>
            <c:numRef>
              <c:f>March!$D$8:$D$9</c:f>
              <c:numCache>
                <c:formatCode>"Rs"#,##0</c:formatCode>
                <c:ptCount val="2"/>
                <c:pt idx="0">
                  <c:v>535000</c:v>
                </c:pt>
                <c:pt idx="1">
                  <c:v>438400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CF-44D8-A2DA-38A891EFF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85103453215631"/>
          <c:y val="0.14731231450023388"/>
          <c:w val="0.68610014105626072"/>
          <c:h val="0.7811745023486726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March!$P$16:$P$32</c:f>
              <c:strCache>
                <c:ptCount val="17"/>
                <c:pt idx="0">
                  <c:v>Groceries</c:v>
                </c:pt>
                <c:pt idx="1">
                  <c:v>Fruits &amp; Vegetables</c:v>
                </c:pt>
                <c:pt idx="2">
                  <c:v>House Help Workers</c:v>
                </c:pt>
                <c:pt idx="3">
                  <c:v>Milk</c:v>
                </c:pt>
                <c:pt idx="4">
                  <c:v>Utilities</c:v>
                </c:pt>
                <c:pt idx="5">
                  <c:v>Transportation</c:v>
                </c:pt>
                <c:pt idx="6">
                  <c:v>Health</c:v>
                </c:pt>
                <c:pt idx="7">
                  <c:v>Chicken &amp; Meat</c:v>
                </c:pt>
                <c:pt idx="8">
                  <c:v>Education</c:v>
                </c:pt>
                <c:pt idx="9">
                  <c:v>Clothes &amp; Shoes Shopping</c:v>
                </c:pt>
                <c:pt idx="10">
                  <c:v>Entertainment</c:v>
                </c:pt>
                <c:pt idx="11">
                  <c:v>Gifts and Charity</c:v>
                </c:pt>
                <c:pt idx="12">
                  <c:v>Ramazan Preparation</c:v>
                </c:pt>
                <c:pt idx="13">
                  <c:v>Taxes</c:v>
                </c:pt>
                <c:pt idx="14">
                  <c:v>Personal Care</c:v>
                </c:pt>
                <c:pt idx="15">
                  <c:v>Insurance</c:v>
                </c:pt>
                <c:pt idx="16">
                  <c:v>Miscellaneous Expenses</c:v>
                </c:pt>
              </c:strCache>
            </c:strRef>
          </c:cat>
          <c:val>
            <c:numRef>
              <c:f>March!$Q$16:$Q$32</c:f>
              <c:numCache>
                <c:formatCode>"Rs"#,##0</c:formatCode>
                <c:ptCount val="17"/>
                <c:pt idx="0">
                  <c:v>50500</c:v>
                </c:pt>
                <c:pt idx="1">
                  <c:v>9000</c:v>
                </c:pt>
                <c:pt idx="2">
                  <c:v>26000</c:v>
                </c:pt>
                <c:pt idx="3">
                  <c:v>4500</c:v>
                </c:pt>
                <c:pt idx="4">
                  <c:v>19700</c:v>
                </c:pt>
                <c:pt idx="5">
                  <c:v>22000</c:v>
                </c:pt>
                <c:pt idx="6">
                  <c:v>10200</c:v>
                </c:pt>
                <c:pt idx="7">
                  <c:v>11500</c:v>
                </c:pt>
                <c:pt idx="8">
                  <c:v>35000</c:v>
                </c:pt>
                <c:pt idx="9">
                  <c:v>45000</c:v>
                </c:pt>
                <c:pt idx="10">
                  <c:v>30000</c:v>
                </c:pt>
                <c:pt idx="11">
                  <c:v>35000</c:v>
                </c:pt>
                <c:pt idx="12">
                  <c:v>43500</c:v>
                </c:pt>
                <c:pt idx="13">
                  <c:v>50000</c:v>
                </c:pt>
                <c:pt idx="14">
                  <c:v>16000</c:v>
                </c:pt>
                <c:pt idx="15">
                  <c:v>18000</c:v>
                </c:pt>
                <c:pt idx="16">
                  <c:v>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2-4D68-A0ED-190167EDF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overlap val="-20"/>
        <c:axId val="752716920"/>
        <c:axId val="752718720"/>
      </c:barChart>
      <c:catAx>
        <c:axId val="752716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PK"/>
          </a:p>
        </c:txPr>
        <c:crossAx val="752718720"/>
        <c:crosses val="autoZero"/>
        <c:auto val="1"/>
        <c:lblAlgn val="ctr"/>
        <c:lblOffset val="100"/>
        <c:noMultiLvlLbl val="0"/>
      </c:catAx>
      <c:valAx>
        <c:axId val="75271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s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527169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90A-4401-8101-297DA4DA7C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90A-4401-8101-297DA4DA7C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90A-4401-8101-297DA4DA7C0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90A-4401-8101-297DA4DA7C0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90A-4401-8101-297DA4DA7C0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90A-4401-8101-297DA4DA7C0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0A-4401-8101-297DA4DA7C0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290A-4401-8101-297DA4DA7C00}"/>
                </c:ext>
              </c:extLst>
            </c:dLbl>
            <c:dLbl>
              <c:idx val="2"/>
              <c:layout>
                <c:manualLayout>
                  <c:x val="-5.7750418421808704E-2"/>
                  <c:y val="-2.5092805742036925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06431555072745"/>
                      <c:h val="0.253798955870416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90A-4401-8101-297DA4DA7C0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290A-4401-8101-297DA4DA7C0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290A-4401-8101-297DA4DA7C0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290A-4401-8101-297DA4DA7C0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March!$I$14:$I$19</c:f>
              <c:strCache>
                <c:ptCount val="6"/>
                <c:pt idx="0">
                  <c:v>Income Sources</c:v>
                </c:pt>
                <c:pt idx="1">
                  <c:v>Salary</c:v>
                </c:pt>
                <c:pt idx="2">
                  <c:v>Freelancing</c:v>
                </c:pt>
                <c:pt idx="3">
                  <c:v>Apartment Rent</c:v>
                </c:pt>
                <c:pt idx="4">
                  <c:v>Business</c:v>
                </c:pt>
                <c:pt idx="5">
                  <c:v>Car Rent</c:v>
                </c:pt>
              </c:strCache>
            </c:strRef>
          </c:cat>
          <c:val>
            <c:numRef>
              <c:f>March!$J$14:$J$19</c:f>
              <c:numCache>
                <c:formatCode>"Rs"#,##0</c:formatCode>
                <c:ptCount val="6"/>
                <c:pt idx="0" formatCode="General">
                  <c:v>0</c:v>
                </c:pt>
                <c:pt idx="1">
                  <c:v>250000</c:v>
                </c:pt>
                <c:pt idx="2">
                  <c:v>140000</c:v>
                </c:pt>
                <c:pt idx="3">
                  <c:v>75000</c:v>
                </c:pt>
                <c:pt idx="4">
                  <c:v>105000</c:v>
                </c:pt>
                <c:pt idx="5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0A-4401-8101-297DA4DA7C0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90A-4401-8101-297DA4DA7C0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PK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290A-4401-8101-297DA4DA7C0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March!$I$14:$I$19</c:f>
              <c:strCache>
                <c:ptCount val="6"/>
                <c:pt idx="0">
                  <c:v>Income Sources</c:v>
                </c:pt>
                <c:pt idx="1">
                  <c:v>Salary</c:v>
                </c:pt>
                <c:pt idx="2">
                  <c:v>Freelancing</c:v>
                </c:pt>
                <c:pt idx="3">
                  <c:v>Apartment Rent</c:v>
                </c:pt>
                <c:pt idx="4">
                  <c:v>Business</c:v>
                </c:pt>
                <c:pt idx="5">
                  <c:v>Car Rent</c:v>
                </c:pt>
              </c:strCache>
            </c:strRef>
          </c:cat>
          <c:val>
            <c:numRef>
              <c:f>January!#REF!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0A-4401-8101-297DA4DA7C0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March!$B$44:$B$46</c:f>
              <c:strCache>
                <c:ptCount val="3"/>
                <c:pt idx="0">
                  <c:v>&gt;10000</c:v>
                </c:pt>
                <c:pt idx="1">
                  <c:v>10000&lt;  &amp; &lt; 6000</c:v>
                </c:pt>
                <c:pt idx="2">
                  <c:v>&gt; 6000</c:v>
                </c:pt>
              </c:strCache>
            </c:strRef>
          </c:cat>
          <c:val>
            <c:numRef>
              <c:f>March!$F$44:$F$46</c:f>
              <c:numCache>
                <c:formatCode>General</c:formatCode>
                <c:ptCount val="3"/>
                <c:pt idx="0">
                  <c:v>15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A-4EC2-ADD7-EE9870FD99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9"/>
        <c:overlap val="-11"/>
        <c:axId val="1230995592"/>
        <c:axId val="1231003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PK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March!$B$44:$B$46</c15:sqref>
                        </c15:formulaRef>
                      </c:ext>
                    </c:extLst>
                    <c:strCache>
                      <c:ptCount val="3"/>
                      <c:pt idx="0">
                        <c:v>&gt;10000</c:v>
                      </c:pt>
                      <c:pt idx="1">
                        <c:v>10000&lt;  &amp; &lt; 6000</c:v>
                      </c:pt>
                      <c:pt idx="2">
                        <c:v>&gt; 6000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March!$C$44:$C$46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E9A-4EC2-ADD7-EE9870FD996C}"/>
                  </c:ext>
                </c:extLst>
              </c15:ser>
            </c15:filteredBarSeries>
          </c:ext>
        </c:extLst>
      </c:barChart>
      <c:catAx>
        <c:axId val="1230995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231003872"/>
        <c:crosses val="autoZero"/>
        <c:auto val="1"/>
        <c:lblAlgn val="ctr"/>
        <c:lblOffset val="100"/>
        <c:noMultiLvlLbl val="0"/>
      </c:catAx>
      <c:valAx>
        <c:axId val="1231003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099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17.svg"/><Relationship Id="rId26" Type="http://schemas.openxmlformats.org/officeDocument/2006/relationships/image" Target="../media/image25.svg"/><Relationship Id="rId3" Type="http://schemas.openxmlformats.org/officeDocument/2006/relationships/image" Target="../media/image2.png"/><Relationship Id="rId21" Type="http://schemas.openxmlformats.org/officeDocument/2006/relationships/image" Target="../media/image20.png"/><Relationship Id="rId34" Type="http://schemas.openxmlformats.org/officeDocument/2006/relationships/image" Target="../media/image33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2" Type="http://schemas.openxmlformats.org/officeDocument/2006/relationships/chart" Target="../charts/chart1.xml"/><Relationship Id="rId16" Type="http://schemas.openxmlformats.org/officeDocument/2006/relationships/image" Target="../media/image15.svg"/><Relationship Id="rId20" Type="http://schemas.openxmlformats.org/officeDocument/2006/relationships/image" Target="../media/image19.svg"/><Relationship Id="rId29" Type="http://schemas.openxmlformats.org/officeDocument/2006/relationships/image" Target="../media/image28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24" Type="http://schemas.openxmlformats.org/officeDocument/2006/relationships/image" Target="../media/image23.svg"/><Relationship Id="rId32" Type="http://schemas.openxmlformats.org/officeDocument/2006/relationships/image" Target="../media/image31.svg"/><Relationship Id="rId37" Type="http://schemas.openxmlformats.org/officeDocument/2006/relationships/chart" Target="../charts/chart2.xml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svg"/><Relationship Id="rId36" Type="http://schemas.openxmlformats.org/officeDocument/2006/relationships/image" Target="../media/image35.svg"/><Relationship Id="rId10" Type="http://schemas.openxmlformats.org/officeDocument/2006/relationships/image" Target="../media/image9.sv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Relationship Id="rId22" Type="http://schemas.openxmlformats.org/officeDocument/2006/relationships/image" Target="../media/image21.svg"/><Relationship Id="rId27" Type="http://schemas.openxmlformats.org/officeDocument/2006/relationships/image" Target="../media/image26.png"/><Relationship Id="rId30" Type="http://schemas.openxmlformats.org/officeDocument/2006/relationships/image" Target="../media/image29.svg"/><Relationship Id="rId35" Type="http://schemas.openxmlformats.org/officeDocument/2006/relationships/image" Target="../media/image3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7</xdr:col>
      <xdr:colOff>857250</xdr:colOff>
      <xdr:row>2</xdr:row>
      <xdr:rowOff>104775</xdr:rowOff>
    </xdr:to>
    <xdr:sp macro="[0]!Data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E943C7-4C91-0F8C-9988-2EC91E182A7E}"/>
            </a:ext>
          </a:extLst>
        </xdr:cNvPr>
        <xdr:cNvSpPr/>
      </xdr:nvSpPr>
      <xdr:spPr>
        <a:xfrm>
          <a:off x="7296150" y="190500"/>
          <a:ext cx="847725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New Entry</a:t>
          </a:r>
          <a:endParaRPr lang="en-P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100444</xdr:colOff>
      <xdr:row>0</xdr:row>
      <xdr:rowOff>704849</xdr:rowOff>
    </xdr:from>
    <xdr:to>
      <xdr:col>21</xdr:col>
      <xdr:colOff>960058</xdr:colOff>
      <xdr:row>16</xdr:row>
      <xdr:rowOff>165387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8CCABD1-9DB8-4048-BD74-837112637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3762" y="704849"/>
          <a:ext cx="5985796" cy="4223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516080</xdr:colOff>
      <xdr:row>28</xdr:row>
      <xdr:rowOff>27703</xdr:rowOff>
    </xdr:from>
    <xdr:to>
      <xdr:col>16</xdr:col>
      <xdr:colOff>830036</xdr:colOff>
      <xdr:row>46</xdr:row>
      <xdr:rowOff>57150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1AED0A-3F7A-48BA-88B4-0046A362B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526004</xdr:colOff>
      <xdr:row>39</xdr:row>
      <xdr:rowOff>340070</xdr:rowOff>
    </xdr:from>
    <xdr:to>
      <xdr:col>3</xdr:col>
      <xdr:colOff>217378</xdr:colOff>
      <xdr:row>43</xdr:row>
      <xdr:rowOff>20693</xdr:rowOff>
    </xdr:to>
    <xdr:pic>
      <xdr:nvPicPr>
        <xdr:cNvPr id="16" name="Graphic 15" descr="Present with solid fill">
          <a:extLst>
            <a:ext uri="{FF2B5EF4-FFF2-40B4-BE49-F238E27FC236}">
              <a16:creationId xmlns:a16="http://schemas.microsoft.com/office/drawing/2014/main" id="{86DAA5A4-D43D-AAE3-2586-42D79CC9A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69254" y="9484070"/>
          <a:ext cx="720074" cy="724909"/>
        </a:xfrm>
        <a:prstGeom prst="rect">
          <a:avLst/>
        </a:prstGeom>
      </xdr:spPr>
    </xdr:pic>
    <xdr:clientData/>
  </xdr:twoCellAnchor>
  <xdr:twoCellAnchor editAs="oneCell">
    <xdr:from>
      <xdr:col>2</xdr:col>
      <xdr:colOff>553001</xdr:colOff>
      <xdr:row>21</xdr:row>
      <xdr:rowOff>294449</xdr:rowOff>
    </xdr:from>
    <xdr:to>
      <xdr:col>3</xdr:col>
      <xdr:colOff>273978</xdr:colOff>
      <xdr:row>24</xdr:row>
      <xdr:rowOff>187777</xdr:rowOff>
    </xdr:to>
    <xdr:pic>
      <xdr:nvPicPr>
        <xdr:cNvPr id="18" name="Graphic 17" descr="Coins with solid fill">
          <a:extLst>
            <a:ext uri="{FF2B5EF4-FFF2-40B4-BE49-F238E27FC236}">
              <a16:creationId xmlns:a16="http://schemas.microsoft.com/office/drawing/2014/main" id="{4B847527-1F0A-2C06-5DE4-1134151EB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96251" y="5133149"/>
          <a:ext cx="749677" cy="734251"/>
        </a:xfrm>
        <a:prstGeom prst="rect">
          <a:avLst/>
        </a:prstGeom>
      </xdr:spPr>
    </xdr:pic>
    <xdr:clientData/>
  </xdr:twoCellAnchor>
  <xdr:twoCellAnchor editAs="oneCell">
    <xdr:from>
      <xdr:col>8</xdr:col>
      <xdr:colOff>417252</xdr:colOff>
      <xdr:row>33</xdr:row>
      <xdr:rowOff>329283</xdr:rowOff>
    </xdr:from>
    <xdr:to>
      <xdr:col>9</xdr:col>
      <xdr:colOff>334267</xdr:colOff>
      <xdr:row>37</xdr:row>
      <xdr:rowOff>87837</xdr:rowOff>
    </xdr:to>
    <xdr:pic>
      <xdr:nvPicPr>
        <xdr:cNvPr id="20" name="Graphic 19" descr="Money with solid fill">
          <a:extLst>
            <a:ext uri="{FF2B5EF4-FFF2-40B4-BE49-F238E27FC236}">
              <a16:creationId xmlns:a16="http://schemas.microsoft.com/office/drawing/2014/main" id="{442CD5F4-201D-78E8-60A6-B49712D68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008802" y="7987383"/>
          <a:ext cx="717115" cy="730105"/>
        </a:xfrm>
        <a:prstGeom prst="rect">
          <a:avLst/>
        </a:prstGeom>
      </xdr:spPr>
    </xdr:pic>
    <xdr:clientData/>
  </xdr:twoCellAnchor>
  <xdr:twoCellAnchor editAs="oneCell">
    <xdr:from>
      <xdr:col>6</xdr:col>
      <xdr:colOff>605352</xdr:colOff>
      <xdr:row>33</xdr:row>
      <xdr:rowOff>327749</xdr:rowOff>
    </xdr:from>
    <xdr:to>
      <xdr:col>7</xdr:col>
      <xdr:colOff>331867</xdr:colOff>
      <xdr:row>37</xdr:row>
      <xdr:rowOff>75046</xdr:rowOff>
    </xdr:to>
    <xdr:pic>
      <xdr:nvPicPr>
        <xdr:cNvPr id="22" name="Graphic 21" descr="Moon with solid fill">
          <a:extLst>
            <a:ext uri="{FF2B5EF4-FFF2-40B4-BE49-F238E27FC236}">
              <a16:creationId xmlns:a16="http://schemas.microsoft.com/office/drawing/2014/main" id="{562AD1BF-F274-116D-181A-FCAF36B7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349052" y="7985849"/>
          <a:ext cx="717115" cy="709323"/>
        </a:xfrm>
        <a:prstGeom prst="rect">
          <a:avLst/>
        </a:prstGeom>
      </xdr:spPr>
    </xdr:pic>
    <xdr:clientData/>
  </xdr:twoCellAnchor>
  <xdr:twoCellAnchor editAs="oneCell">
    <xdr:from>
      <xdr:col>4</xdr:col>
      <xdr:colOff>547537</xdr:colOff>
      <xdr:row>33</xdr:row>
      <xdr:rowOff>349594</xdr:rowOff>
    </xdr:from>
    <xdr:to>
      <xdr:col>5</xdr:col>
      <xdr:colOff>395280</xdr:colOff>
      <xdr:row>37</xdr:row>
      <xdr:rowOff>79572</xdr:rowOff>
    </xdr:to>
    <xdr:pic>
      <xdr:nvPicPr>
        <xdr:cNvPr id="24" name="Graphic 23" descr="Car Mechanic with solid fill">
          <a:extLst>
            <a:ext uri="{FF2B5EF4-FFF2-40B4-BE49-F238E27FC236}">
              <a16:creationId xmlns:a16="http://schemas.microsoft.com/office/drawing/2014/main" id="{2F5A2919-A5F3-4ABF-1572-9CCC2E8E6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2437" y="8007694"/>
          <a:ext cx="724043" cy="720579"/>
        </a:xfrm>
        <a:prstGeom prst="rect">
          <a:avLst/>
        </a:prstGeom>
      </xdr:spPr>
    </xdr:pic>
    <xdr:clientData/>
  </xdr:twoCellAnchor>
  <xdr:twoCellAnchor editAs="oneCell">
    <xdr:from>
      <xdr:col>2</xdr:col>
      <xdr:colOff>415249</xdr:colOff>
      <xdr:row>33</xdr:row>
      <xdr:rowOff>104740</xdr:rowOff>
    </xdr:from>
    <xdr:to>
      <xdr:col>3</xdr:col>
      <xdr:colOff>304650</xdr:colOff>
      <xdr:row>37</xdr:row>
      <xdr:rowOff>186170</xdr:rowOff>
    </xdr:to>
    <xdr:pic>
      <xdr:nvPicPr>
        <xdr:cNvPr id="26" name="Graphic 25" descr="Care with solid fill">
          <a:extLst>
            <a:ext uri="{FF2B5EF4-FFF2-40B4-BE49-F238E27FC236}">
              <a16:creationId xmlns:a16="http://schemas.microsoft.com/office/drawing/2014/main" id="{8F2A3480-7284-E3A1-6A93-B43A30F45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58499" y="7610440"/>
          <a:ext cx="918101" cy="919631"/>
        </a:xfrm>
        <a:prstGeom prst="rect">
          <a:avLst/>
        </a:prstGeom>
      </xdr:spPr>
    </xdr:pic>
    <xdr:clientData/>
  </xdr:twoCellAnchor>
  <xdr:twoCellAnchor editAs="oneCell">
    <xdr:from>
      <xdr:col>8</xdr:col>
      <xdr:colOff>475153</xdr:colOff>
      <xdr:row>27</xdr:row>
      <xdr:rowOff>228157</xdr:rowOff>
    </xdr:from>
    <xdr:to>
      <xdr:col>9</xdr:col>
      <xdr:colOff>388236</xdr:colOff>
      <xdr:row>31</xdr:row>
      <xdr:rowOff>72437</xdr:rowOff>
    </xdr:to>
    <xdr:pic>
      <xdr:nvPicPr>
        <xdr:cNvPr id="28" name="Graphic 27" descr="Tax with solid fill">
          <a:extLst>
            <a:ext uri="{FF2B5EF4-FFF2-40B4-BE49-F238E27FC236}">
              <a16:creationId xmlns:a16="http://schemas.microsoft.com/office/drawing/2014/main" id="{AAE0529F-E6E3-D653-D5AD-DF6A8ACD5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066703" y="6476557"/>
          <a:ext cx="713183" cy="711055"/>
        </a:xfrm>
        <a:prstGeom prst="rect">
          <a:avLst/>
        </a:prstGeom>
      </xdr:spPr>
    </xdr:pic>
    <xdr:clientData/>
  </xdr:twoCellAnchor>
  <xdr:twoCellAnchor editAs="oneCell">
    <xdr:from>
      <xdr:col>6</xdr:col>
      <xdr:colOff>636884</xdr:colOff>
      <xdr:row>27</xdr:row>
      <xdr:rowOff>259700</xdr:rowOff>
    </xdr:from>
    <xdr:to>
      <xdr:col>7</xdr:col>
      <xdr:colOff>359426</xdr:colOff>
      <xdr:row>31</xdr:row>
      <xdr:rowOff>83198</xdr:rowOff>
    </xdr:to>
    <xdr:pic>
      <xdr:nvPicPr>
        <xdr:cNvPr id="30" name="Graphic 29" descr="Game controller with solid fill">
          <a:extLst>
            <a:ext uri="{FF2B5EF4-FFF2-40B4-BE49-F238E27FC236}">
              <a16:creationId xmlns:a16="http://schemas.microsoft.com/office/drawing/2014/main" id="{AB2E37E1-3223-32AB-35D0-2FD94363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380584" y="6508100"/>
          <a:ext cx="713142" cy="718848"/>
        </a:xfrm>
        <a:prstGeom prst="rect">
          <a:avLst/>
        </a:prstGeom>
      </xdr:spPr>
    </xdr:pic>
    <xdr:clientData/>
  </xdr:twoCellAnchor>
  <xdr:twoCellAnchor editAs="oneCell">
    <xdr:from>
      <xdr:col>4</xdr:col>
      <xdr:colOff>557417</xdr:colOff>
      <xdr:row>27</xdr:row>
      <xdr:rowOff>307524</xdr:rowOff>
    </xdr:from>
    <xdr:to>
      <xdr:col>5</xdr:col>
      <xdr:colOff>342900</xdr:colOff>
      <xdr:row>31</xdr:row>
      <xdr:rowOff>17998</xdr:rowOff>
    </xdr:to>
    <xdr:pic>
      <xdr:nvPicPr>
        <xdr:cNvPr id="32" name="Graphic 31" descr="Shopping bag with solid fill">
          <a:extLst>
            <a:ext uri="{FF2B5EF4-FFF2-40B4-BE49-F238E27FC236}">
              <a16:creationId xmlns:a16="http://schemas.microsoft.com/office/drawing/2014/main" id="{04B71E45-1DDD-CD48-E43D-F5FA461FE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2317" y="6555924"/>
          <a:ext cx="661783" cy="653449"/>
        </a:xfrm>
        <a:prstGeom prst="rect">
          <a:avLst/>
        </a:prstGeom>
      </xdr:spPr>
    </xdr:pic>
    <xdr:clientData/>
  </xdr:twoCellAnchor>
  <xdr:twoCellAnchor editAs="oneCell">
    <xdr:from>
      <xdr:col>2</xdr:col>
      <xdr:colOff>537717</xdr:colOff>
      <xdr:row>27</xdr:row>
      <xdr:rowOff>337364</xdr:rowOff>
    </xdr:from>
    <xdr:to>
      <xdr:col>3</xdr:col>
      <xdr:colOff>341168</xdr:colOff>
      <xdr:row>32</xdr:row>
      <xdr:rowOff>933</xdr:rowOff>
    </xdr:to>
    <xdr:pic>
      <xdr:nvPicPr>
        <xdr:cNvPr id="34" name="Graphic 33" descr="Graduation cap with solid fill">
          <a:extLst>
            <a:ext uri="{FF2B5EF4-FFF2-40B4-BE49-F238E27FC236}">
              <a16:creationId xmlns:a16="http://schemas.microsoft.com/office/drawing/2014/main" id="{71262D16-2DFA-4ED0-304A-A19ECFE20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680967" y="6585764"/>
          <a:ext cx="832151" cy="844669"/>
        </a:xfrm>
        <a:prstGeom prst="rect">
          <a:avLst/>
        </a:prstGeom>
      </xdr:spPr>
    </xdr:pic>
    <xdr:clientData/>
  </xdr:twoCellAnchor>
  <xdr:twoCellAnchor editAs="oneCell">
    <xdr:from>
      <xdr:col>8</xdr:col>
      <xdr:colOff>458666</xdr:colOff>
      <xdr:row>21</xdr:row>
      <xdr:rowOff>293631</xdr:rowOff>
    </xdr:from>
    <xdr:to>
      <xdr:col>9</xdr:col>
      <xdr:colOff>375681</xdr:colOff>
      <xdr:row>24</xdr:row>
      <xdr:rowOff>161165</xdr:rowOff>
    </xdr:to>
    <xdr:pic>
      <xdr:nvPicPr>
        <xdr:cNvPr id="36" name="Graphic 35" descr="Chicken leg with solid fill">
          <a:extLst>
            <a:ext uri="{FF2B5EF4-FFF2-40B4-BE49-F238E27FC236}">
              <a16:creationId xmlns:a16="http://schemas.microsoft.com/office/drawing/2014/main" id="{01F4AE0F-9FDC-A3D6-CEB8-EC08D164F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9050216" y="5132331"/>
          <a:ext cx="717115" cy="708457"/>
        </a:xfrm>
        <a:prstGeom prst="rect">
          <a:avLst/>
        </a:prstGeom>
      </xdr:spPr>
    </xdr:pic>
    <xdr:clientData/>
  </xdr:twoCellAnchor>
  <xdr:twoCellAnchor editAs="oneCell">
    <xdr:from>
      <xdr:col>6</xdr:col>
      <xdr:colOff>643303</xdr:colOff>
      <xdr:row>21</xdr:row>
      <xdr:rowOff>287768</xdr:rowOff>
    </xdr:from>
    <xdr:to>
      <xdr:col>7</xdr:col>
      <xdr:colOff>369818</xdr:colOff>
      <xdr:row>24</xdr:row>
      <xdr:rowOff>155302</xdr:rowOff>
    </xdr:to>
    <xdr:pic>
      <xdr:nvPicPr>
        <xdr:cNvPr id="38" name="Graphic 37" descr="Medical with solid fill">
          <a:extLst>
            <a:ext uri="{FF2B5EF4-FFF2-40B4-BE49-F238E27FC236}">
              <a16:creationId xmlns:a16="http://schemas.microsoft.com/office/drawing/2014/main" id="{52410925-B438-FC9D-101D-FA4DD096E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7387003" y="5126468"/>
          <a:ext cx="717115" cy="708457"/>
        </a:xfrm>
        <a:prstGeom prst="rect">
          <a:avLst/>
        </a:prstGeom>
      </xdr:spPr>
    </xdr:pic>
    <xdr:clientData/>
  </xdr:twoCellAnchor>
  <xdr:twoCellAnchor editAs="oneCell">
    <xdr:from>
      <xdr:col>4</xdr:col>
      <xdr:colOff>516211</xdr:colOff>
      <xdr:row>21</xdr:row>
      <xdr:rowOff>309613</xdr:rowOff>
    </xdr:from>
    <xdr:to>
      <xdr:col>5</xdr:col>
      <xdr:colOff>363954</xdr:colOff>
      <xdr:row>24</xdr:row>
      <xdr:rowOff>177147</xdr:rowOff>
    </xdr:to>
    <xdr:pic>
      <xdr:nvPicPr>
        <xdr:cNvPr id="40" name="Graphic 39" descr="Bus with solid fill">
          <a:extLst>
            <a:ext uri="{FF2B5EF4-FFF2-40B4-BE49-F238E27FC236}">
              <a16:creationId xmlns:a16="http://schemas.microsoft.com/office/drawing/2014/main" id="{AD541285-58C9-0A3F-071D-F01CEFB68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431111" y="5148313"/>
          <a:ext cx="724043" cy="708457"/>
        </a:xfrm>
        <a:prstGeom prst="rect">
          <a:avLst/>
        </a:prstGeom>
      </xdr:spPr>
    </xdr:pic>
    <xdr:clientData/>
  </xdr:twoCellAnchor>
  <xdr:twoCellAnchor editAs="oneCell">
    <xdr:from>
      <xdr:col>8</xdr:col>
      <xdr:colOff>376566</xdr:colOff>
      <xdr:row>14</xdr:row>
      <xdr:rowOff>257424</xdr:rowOff>
    </xdr:from>
    <xdr:to>
      <xdr:col>9</xdr:col>
      <xdr:colOff>408909</xdr:colOff>
      <xdr:row>18</xdr:row>
      <xdr:rowOff>192231</xdr:rowOff>
    </xdr:to>
    <xdr:pic>
      <xdr:nvPicPr>
        <xdr:cNvPr id="42" name="Graphic 41" descr="Dairy with solid fill">
          <a:extLst>
            <a:ext uri="{FF2B5EF4-FFF2-40B4-BE49-F238E27FC236}">
              <a16:creationId xmlns:a16="http://schemas.microsoft.com/office/drawing/2014/main" id="{B942E252-6415-60C4-CC2F-941B4D86B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8897111" y="3547879"/>
          <a:ext cx="828980" cy="833621"/>
        </a:xfrm>
        <a:prstGeom prst="rect">
          <a:avLst/>
        </a:prstGeom>
      </xdr:spPr>
    </xdr:pic>
    <xdr:clientData/>
  </xdr:twoCellAnchor>
  <xdr:twoCellAnchor editAs="oneCell">
    <xdr:from>
      <xdr:col>6</xdr:col>
      <xdr:colOff>625714</xdr:colOff>
      <xdr:row>15</xdr:row>
      <xdr:rowOff>48505</xdr:rowOff>
    </xdr:from>
    <xdr:to>
      <xdr:col>7</xdr:col>
      <xdr:colOff>352071</xdr:colOff>
      <xdr:row>18</xdr:row>
      <xdr:rowOff>138544</xdr:rowOff>
    </xdr:to>
    <xdr:pic>
      <xdr:nvPicPr>
        <xdr:cNvPr id="44" name="Graphic 43" descr="Construction worker female with solid fill">
          <a:extLst>
            <a:ext uri="{FF2B5EF4-FFF2-40B4-BE49-F238E27FC236}">
              <a16:creationId xmlns:a16="http://schemas.microsoft.com/office/drawing/2014/main" id="{85ADD7AA-0D80-9AE1-B246-6677057D6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7310532" y="3633369"/>
          <a:ext cx="713494" cy="713494"/>
        </a:xfrm>
        <a:prstGeom prst="rect">
          <a:avLst/>
        </a:prstGeom>
      </xdr:spPr>
    </xdr:pic>
    <xdr:clientData/>
  </xdr:twoCellAnchor>
  <xdr:twoCellAnchor editAs="oneCell">
    <xdr:from>
      <xdr:col>4</xdr:col>
      <xdr:colOff>527395</xdr:colOff>
      <xdr:row>15</xdr:row>
      <xdr:rowOff>54096</xdr:rowOff>
    </xdr:from>
    <xdr:to>
      <xdr:col>5</xdr:col>
      <xdr:colOff>334754</xdr:colOff>
      <xdr:row>18</xdr:row>
      <xdr:rowOff>103909</xdr:rowOff>
    </xdr:to>
    <xdr:pic>
      <xdr:nvPicPr>
        <xdr:cNvPr id="48" name="Graphic 47" descr="Fruit bowl with solid fill">
          <a:extLst>
            <a:ext uri="{FF2B5EF4-FFF2-40B4-BE49-F238E27FC236}">
              <a16:creationId xmlns:a16="http://schemas.microsoft.com/office/drawing/2014/main" id="{0198C4B9-A746-F8E2-789E-41E833B26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5411122" y="3638960"/>
          <a:ext cx="673268" cy="673268"/>
        </a:xfrm>
        <a:prstGeom prst="rect">
          <a:avLst/>
        </a:prstGeom>
      </xdr:spPr>
    </xdr:pic>
    <xdr:clientData/>
  </xdr:twoCellAnchor>
  <xdr:twoCellAnchor editAs="oneCell">
    <xdr:from>
      <xdr:col>2</xdr:col>
      <xdr:colOff>556165</xdr:colOff>
      <xdr:row>15</xdr:row>
      <xdr:rowOff>65549</xdr:rowOff>
    </xdr:from>
    <xdr:to>
      <xdr:col>3</xdr:col>
      <xdr:colOff>254972</xdr:colOff>
      <xdr:row>18</xdr:row>
      <xdr:rowOff>155746</xdr:rowOff>
    </xdr:to>
    <xdr:pic>
      <xdr:nvPicPr>
        <xdr:cNvPr id="50" name="Graphic 49" descr="Shopping cart with solid fill">
          <a:extLst>
            <a:ext uri="{FF2B5EF4-FFF2-40B4-BE49-F238E27FC236}">
              <a16:creationId xmlns:a16="http://schemas.microsoft.com/office/drawing/2014/main" id="{113E5148-417A-D84B-B92F-31ED7E43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3673438" y="3650413"/>
          <a:ext cx="713652" cy="713652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15</xdr:row>
      <xdr:rowOff>0</xdr:rowOff>
    </xdr:from>
    <xdr:to>
      <xdr:col>16</xdr:col>
      <xdr:colOff>781050</xdr:colOff>
      <xdr:row>27</xdr:row>
      <xdr:rowOff>133350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F7195F4-F707-B661-85B5-759864467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571500</xdr:colOff>
      <xdr:row>0</xdr:row>
      <xdr:rowOff>209550</xdr:rowOff>
    </xdr:from>
    <xdr:to>
      <xdr:col>7</xdr:col>
      <xdr:colOff>615232</xdr:colOff>
      <xdr:row>0</xdr:row>
      <xdr:rowOff>597261</xdr:rowOff>
    </xdr:to>
    <xdr:sp macro="[0]!Summary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3AFB6D3E-2305-47D7-80CA-701978BACBA5}"/>
            </a:ext>
          </a:extLst>
        </xdr:cNvPr>
        <xdr:cNvSpPr/>
      </xdr:nvSpPr>
      <xdr:spPr>
        <a:xfrm>
          <a:off x="7962900" y="209550"/>
          <a:ext cx="1034332" cy="38771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Summary</a:t>
          </a:r>
          <a:endParaRPr lang="en-PK" sz="1600" b="1"/>
        </a:p>
      </xdr:txBody>
    </xdr:sp>
    <xdr:clientData/>
  </xdr:twoCellAnchor>
  <xdr:twoCellAnchor>
    <xdr:from>
      <xdr:col>7</xdr:col>
      <xdr:colOff>768025</xdr:colOff>
      <xdr:row>0</xdr:row>
      <xdr:rowOff>224398</xdr:rowOff>
    </xdr:from>
    <xdr:to>
      <xdr:col>9</xdr:col>
      <xdr:colOff>351051</xdr:colOff>
      <xdr:row>0</xdr:row>
      <xdr:rowOff>586787</xdr:rowOff>
    </xdr:to>
    <xdr:sp macro="[0]!Module2.January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B89E9A1F-BDC0-4521-8858-BEB95FA36013}"/>
            </a:ext>
          </a:extLst>
        </xdr:cNvPr>
        <xdr:cNvSpPr/>
      </xdr:nvSpPr>
      <xdr:spPr>
        <a:xfrm>
          <a:off x="9150025" y="224398"/>
          <a:ext cx="1240376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January</a:t>
          </a:r>
          <a:endParaRPr lang="en-PK" sz="1600" b="1"/>
        </a:p>
      </xdr:txBody>
    </xdr:sp>
    <xdr:clientData/>
  </xdr:twoCellAnchor>
  <xdr:twoCellAnchor>
    <xdr:from>
      <xdr:col>9</xdr:col>
      <xdr:colOff>477512</xdr:colOff>
      <xdr:row>0</xdr:row>
      <xdr:rowOff>219635</xdr:rowOff>
    </xdr:from>
    <xdr:to>
      <xdr:col>11</xdr:col>
      <xdr:colOff>260564</xdr:colOff>
      <xdr:row>0</xdr:row>
      <xdr:rowOff>582024</xdr:rowOff>
    </xdr:to>
    <xdr:sp macro="[0]!Module2.February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6CD1F89D-D82D-4C64-B478-6074D4BD26DF}"/>
            </a:ext>
          </a:extLst>
        </xdr:cNvPr>
        <xdr:cNvSpPr/>
      </xdr:nvSpPr>
      <xdr:spPr>
        <a:xfrm>
          <a:off x="10516862" y="219635"/>
          <a:ext cx="1078452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February</a:t>
          </a:r>
          <a:endParaRPr lang="en-PK" sz="1600" b="1"/>
        </a:p>
      </xdr:txBody>
    </xdr:sp>
    <xdr:clientData/>
  </xdr:twoCellAnchor>
  <xdr:twoCellAnchor>
    <xdr:from>
      <xdr:col>11</xdr:col>
      <xdr:colOff>401312</xdr:colOff>
      <xdr:row>0</xdr:row>
      <xdr:rowOff>200585</xdr:rowOff>
    </xdr:from>
    <xdr:to>
      <xdr:col>12</xdr:col>
      <xdr:colOff>660614</xdr:colOff>
      <xdr:row>0</xdr:row>
      <xdr:rowOff>562974</xdr:rowOff>
    </xdr:to>
    <xdr:sp macro="[0]!Module2.Marc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745B440-97DD-416E-97C8-3F55616AA333}"/>
            </a:ext>
          </a:extLst>
        </xdr:cNvPr>
        <xdr:cNvSpPr/>
      </xdr:nvSpPr>
      <xdr:spPr>
        <a:xfrm>
          <a:off x="11736062" y="200585"/>
          <a:ext cx="1078452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March</a:t>
          </a:r>
          <a:endParaRPr lang="en-PK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1752736</xdr:colOff>
      <xdr:row>5</xdr:row>
      <xdr:rowOff>14806</xdr:rowOff>
    </xdr:from>
    <xdr:to>
      <xdr:col>6</xdr:col>
      <xdr:colOff>1801819</xdr:colOff>
      <xdr:row>11</xdr:row>
      <xdr:rowOff>56244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9A3D6A-AD1B-38B5-3179-C08E7B0CF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184714</xdr:colOff>
      <xdr:row>12</xdr:row>
      <xdr:rowOff>164423</xdr:rowOff>
    </xdr:from>
    <xdr:to>
      <xdr:col>27</xdr:col>
      <xdr:colOff>290078</xdr:colOff>
      <xdr:row>30</xdr:row>
      <xdr:rowOff>136381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ABB138-E903-45B3-9E07-65AB8CF6C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1939637</xdr:colOff>
      <xdr:row>0</xdr:row>
      <xdr:rowOff>201106</xdr:rowOff>
    </xdr:from>
    <xdr:to>
      <xdr:col>8</xdr:col>
      <xdr:colOff>183144</xdr:colOff>
      <xdr:row>0</xdr:row>
      <xdr:rowOff>588817</xdr:rowOff>
    </xdr:to>
    <xdr:sp macro="[0]!Summary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FC773989-2CC7-9DBB-C1FF-99A23436A4B7}"/>
            </a:ext>
          </a:extLst>
        </xdr:cNvPr>
        <xdr:cNvSpPr/>
      </xdr:nvSpPr>
      <xdr:spPr>
        <a:xfrm>
          <a:off x="7949046" y="391606"/>
          <a:ext cx="1031734" cy="38771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Summary</a:t>
          </a:r>
          <a:endParaRPr lang="en-PK" sz="1600" b="1"/>
        </a:p>
      </xdr:txBody>
    </xdr:sp>
    <xdr:clientData/>
  </xdr:twoCellAnchor>
  <xdr:twoCellAnchor>
    <xdr:from>
      <xdr:col>8</xdr:col>
      <xdr:colOff>21028</xdr:colOff>
      <xdr:row>20</xdr:row>
      <xdr:rowOff>153775</xdr:rowOff>
    </xdr:from>
    <xdr:to>
      <xdr:col>13</xdr:col>
      <xdr:colOff>467925</xdr:colOff>
      <xdr:row>22</xdr:row>
      <xdr:rowOff>121226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0E7C897-59D0-8717-BEA9-33847A44555C}"/>
            </a:ext>
          </a:extLst>
        </xdr:cNvPr>
        <xdr:cNvSpPr/>
      </xdr:nvSpPr>
      <xdr:spPr>
        <a:xfrm>
          <a:off x="8541573" y="5972684"/>
          <a:ext cx="3304397" cy="34845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effectLst/>
            </a:rPr>
            <a:t>Income Contribution</a:t>
          </a:r>
          <a:endParaRPr lang="en-PK" sz="1600">
            <a:effectLst/>
          </a:endParaRPr>
        </a:p>
      </xdr:txBody>
    </xdr:sp>
    <xdr:clientData/>
  </xdr:twoCellAnchor>
  <xdr:twoCellAnchor>
    <xdr:from>
      <xdr:col>8</xdr:col>
      <xdr:colOff>18628</xdr:colOff>
      <xdr:row>22</xdr:row>
      <xdr:rowOff>99883</xdr:rowOff>
    </xdr:from>
    <xdr:to>
      <xdr:col>13</xdr:col>
      <xdr:colOff>450273</xdr:colOff>
      <xdr:row>32</xdr:row>
      <xdr:rowOff>187486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3631C92-E22C-BBE5-AD82-D3395CE19E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394522</xdr:colOff>
      <xdr:row>47</xdr:row>
      <xdr:rowOff>104072</xdr:rowOff>
    </xdr:from>
    <xdr:to>
      <xdr:col>4</xdr:col>
      <xdr:colOff>1692730</xdr:colOff>
      <xdr:row>49</xdr:row>
      <xdr:rowOff>114301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0553C4E-5306-4817-89D3-761C394F2C8E}"/>
            </a:ext>
          </a:extLst>
        </xdr:cNvPr>
        <xdr:cNvSpPr/>
      </xdr:nvSpPr>
      <xdr:spPr>
        <a:xfrm>
          <a:off x="816343" y="10880929"/>
          <a:ext cx="3869958" cy="391229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/>
          <a:r>
            <a:rPr lang="en-US" sz="1600" b="1" i="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Counts Based On Intervals</a:t>
          </a:r>
          <a:endParaRPr lang="en-PK" sz="16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326412</xdr:colOff>
      <xdr:row>0</xdr:row>
      <xdr:rowOff>215954</xdr:rowOff>
    </xdr:from>
    <xdr:to>
      <xdr:col>10</xdr:col>
      <xdr:colOff>385688</xdr:colOff>
      <xdr:row>0</xdr:row>
      <xdr:rowOff>578343</xdr:rowOff>
    </xdr:to>
    <xdr:sp macro="[0]!Module2.January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FFE49550-FADA-40C3-9EF8-E754FE84062E}"/>
            </a:ext>
          </a:extLst>
        </xdr:cNvPr>
        <xdr:cNvSpPr/>
      </xdr:nvSpPr>
      <xdr:spPr>
        <a:xfrm>
          <a:off x="8803662" y="406454"/>
          <a:ext cx="1083214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January</a:t>
          </a:r>
          <a:endParaRPr lang="en-PK" sz="1600" b="1"/>
        </a:p>
      </xdr:txBody>
    </xdr:sp>
    <xdr:clientData/>
  </xdr:twoCellAnchor>
  <xdr:twoCellAnchor>
    <xdr:from>
      <xdr:col>1</xdr:col>
      <xdr:colOff>409576</xdr:colOff>
      <xdr:row>49</xdr:row>
      <xdr:rowOff>89807</xdr:rowOff>
    </xdr:from>
    <xdr:to>
      <xdr:col>4</xdr:col>
      <xdr:colOff>1719945</xdr:colOff>
      <xdr:row>58</xdr:row>
      <xdr:rowOff>35379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738966E-DAF4-0F6D-20DC-496B67560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512149</xdr:colOff>
      <xdr:row>0</xdr:row>
      <xdr:rowOff>211191</xdr:rowOff>
    </xdr:from>
    <xdr:to>
      <xdr:col>13</xdr:col>
      <xdr:colOff>47551</xdr:colOff>
      <xdr:row>0</xdr:row>
      <xdr:rowOff>573580</xdr:rowOff>
    </xdr:to>
    <xdr:sp macro="[0]!Module2.February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9BD4C241-FE83-401C-9629-3DF3ED5B54D1}"/>
            </a:ext>
          </a:extLst>
        </xdr:cNvPr>
        <xdr:cNvSpPr/>
      </xdr:nvSpPr>
      <xdr:spPr>
        <a:xfrm>
          <a:off x="10013337" y="401691"/>
          <a:ext cx="1083214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February</a:t>
          </a:r>
          <a:endParaRPr lang="en-PK" sz="1600" b="1"/>
        </a:p>
      </xdr:txBody>
    </xdr:sp>
    <xdr:clientData/>
  </xdr:twoCellAnchor>
  <xdr:twoCellAnchor>
    <xdr:from>
      <xdr:col>13</xdr:col>
      <xdr:colOff>183537</xdr:colOff>
      <xdr:row>0</xdr:row>
      <xdr:rowOff>211191</xdr:rowOff>
    </xdr:from>
    <xdr:to>
      <xdr:col>15</xdr:col>
      <xdr:colOff>252339</xdr:colOff>
      <xdr:row>0</xdr:row>
      <xdr:rowOff>573580</xdr:rowOff>
    </xdr:to>
    <xdr:sp macro="[0]!Module2.Marc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F23CBF-9B99-4CB2-9BBB-F229F2C53544}"/>
            </a:ext>
          </a:extLst>
        </xdr:cNvPr>
        <xdr:cNvSpPr/>
      </xdr:nvSpPr>
      <xdr:spPr>
        <a:xfrm>
          <a:off x="11880237" y="211191"/>
          <a:ext cx="1211802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March</a:t>
          </a:r>
          <a:endParaRPr lang="en-PK" sz="1600" b="1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0.99615</cdr:x>
      <cdr:y>0.10793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C24D230-0AF7-2A5A-DD1D-87F29B00001F}"/>
            </a:ext>
          </a:extLst>
        </cdr:cNvPr>
        <cdr:cNvSpPr/>
      </cdr:nvSpPr>
      <cdr:spPr>
        <a:xfrm xmlns:a="http://schemas.openxmlformats.org/drawingml/2006/main">
          <a:off x="0" y="0"/>
          <a:ext cx="6008085" cy="35181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Actual Expenses</a:t>
          </a:r>
          <a:endParaRPr lang="en-PK" sz="1600">
            <a:effectLst/>
          </a:endParaRPr>
        </a:p>
        <a:p xmlns:a="http://schemas.openxmlformats.org/drawingml/2006/main">
          <a:pPr algn="l"/>
          <a:endParaRPr lang="en-PK" sz="1600" kern="12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1752736</xdr:colOff>
      <xdr:row>5</xdr:row>
      <xdr:rowOff>14806</xdr:rowOff>
    </xdr:from>
    <xdr:to>
      <xdr:col>6</xdr:col>
      <xdr:colOff>1801819</xdr:colOff>
      <xdr:row>11</xdr:row>
      <xdr:rowOff>56244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6592AE-37D2-43B2-A627-9FF4F2696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184714</xdr:colOff>
      <xdr:row>12</xdr:row>
      <xdr:rowOff>164423</xdr:rowOff>
    </xdr:from>
    <xdr:to>
      <xdr:col>27</xdr:col>
      <xdr:colOff>290078</xdr:colOff>
      <xdr:row>30</xdr:row>
      <xdr:rowOff>136381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7F4094-C9F1-4709-AE13-A053ACDE5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1939637</xdr:colOff>
      <xdr:row>0</xdr:row>
      <xdr:rowOff>201106</xdr:rowOff>
    </xdr:from>
    <xdr:to>
      <xdr:col>8</xdr:col>
      <xdr:colOff>183144</xdr:colOff>
      <xdr:row>0</xdr:row>
      <xdr:rowOff>588817</xdr:rowOff>
    </xdr:to>
    <xdr:sp macro="[0]!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6D304AD-CD8A-46A1-B27E-622C42F58E41}"/>
            </a:ext>
          </a:extLst>
        </xdr:cNvPr>
        <xdr:cNvSpPr/>
      </xdr:nvSpPr>
      <xdr:spPr>
        <a:xfrm>
          <a:off x="7949912" y="201106"/>
          <a:ext cx="1034332" cy="38771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Summary</a:t>
          </a:r>
          <a:endParaRPr lang="en-PK" sz="1600" b="1"/>
        </a:p>
      </xdr:txBody>
    </xdr:sp>
    <xdr:clientData/>
  </xdr:twoCellAnchor>
  <xdr:twoCellAnchor>
    <xdr:from>
      <xdr:col>8</xdr:col>
      <xdr:colOff>21028</xdr:colOff>
      <xdr:row>20</xdr:row>
      <xdr:rowOff>153775</xdr:rowOff>
    </xdr:from>
    <xdr:to>
      <xdr:col>13</xdr:col>
      <xdr:colOff>467925</xdr:colOff>
      <xdr:row>22</xdr:row>
      <xdr:rowOff>121226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774B24A-DECB-466A-8990-3BFA8D050737}"/>
            </a:ext>
          </a:extLst>
        </xdr:cNvPr>
        <xdr:cNvSpPr/>
      </xdr:nvSpPr>
      <xdr:spPr>
        <a:xfrm>
          <a:off x="8822128" y="5392525"/>
          <a:ext cx="3304397" cy="34845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effectLst/>
            </a:rPr>
            <a:t>Income Contribution</a:t>
          </a:r>
          <a:endParaRPr lang="en-PK" sz="1600">
            <a:effectLst/>
          </a:endParaRPr>
        </a:p>
      </xdr:txBody>
    </xdr:sp>
    <xdr:clientData/>
  </xdr:twoCellAnchor>
  <xdr:twoCellAnchor>
    <xdr:from>
      <xdr:col>8</xdr:col>
      <xdr:colOff>18628</xdr:colOff>
      <xdr:row>22</xdr:row>
      <xdr:rowOff>99883</xdr:rowOff>
    </xdr:from>
    <xdr:to>
      <xdr:col>13</xdr:col>
      <xdr:colOff>450273</xdr:colOff>
      <xdr:row>32</xdr:row>
      <xdr:rowOff>187486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ECA5AE-7767-4512-A321-DC4FD62E36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394522</xdr:colOff>
      <xdr:row>47</xdr:row>
      <xdr:rowOff>104072</xdr:rowOff>
    </xdr:from>
    <xdr:to>
      <xdr:col>4</xdr:col>
      <xdr:colOff>1692730</xdr:colOff>
      <xdr:row>49</xdr:row>
      <xdr:rowOff>114301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92CE92D-A03E-4A11-A61A-8E3A1CF7ADDF}"/>
            </a:ext>
          </a:extLst>
        </xdr:cNvPr>
        <xdr:cNvSpPr/>
      </xdr:nvSpPr>
      <xdr:spPr>
        <a:xfrm>
          <a:off x="813622" y="10676822"/>
          <a:ext cx="3860433" cy="391229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/>
          <a:r>
            <a:rPr lang="en-US" sz="1600" b="1" i="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Counts Based On Intervals</a:t>
          </a:r>
          <a:endParaRPr lang="en-PK" sz="16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326412</xdr:colOff>
      <xdr:row>0</xdr:row>
      <xdr:rowOff>215954</xdr:rowOff>
    </xdr:from>
    <xdr:to>
      <xdr:col>10</xdr:col>
      <xdr:colOff>385688</xdr:colOff>
      <xdr:row>0</xdr:row>
      <xdr:rowOff>578343</xdr:rowOff>
    </xdr:to>
    <xdr:sp macro="[0]!Module2.January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89BD08E-CAA5-4FF0-A8F9-93CF73FF6BF4}"/>
            </a:ext>
          </a:extLst>
        </xdr:cNvPr>
        <xdr:cNvSpPr/>
      </xdr:nvSpPr>
      <xdr:spPr>
        <a:xfrm>
          <a:off x="9127512" y="215954"/>
          <a:ext cx="1240376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January</a:t>
          </a:r>
          <a:endParaRPr lang="en-PK" sz="1600" b="1"/>
        </a:p>
      </xdr:txBody>
    </xdr:sp>
    <xdr:clientData/>
  </xdr:twoCellAnchor>
  <xdr:twoCellAnchor>
    <xdr:from>
      <xdr:col>1</xdr:col>
      <xdr:colOff>409576</xdr:colOff>
      <xdr:row>49</xdr:row>
      <xdr:rowOff>89807</xdr:rowOff>
    </xdr:from>
    <xdr:to>
      <xdr:col>4</xdr:col>
      <xdr:colOff>1719945</xdr:colOff>
      <xdr:row>58</xdr:row>
      <xdr:rowOff>35379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340F49A-4060-412F-B216-5B4E4F1A3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193061</xdr:colOff>
      <xdr:row>0</xdr:row>
      <xdr:rowOff>201666</xdr:rowOff>
    </xdr:from>
    <xdr:to>
      <xdr:col>15</xdr:col>
      <xdr:colOff>263261</xdr:colOff>
      <xdr:row>0</xdr:row>
      <xdr:rowOff>564055</xdr:rowOff>
    </xdr:to>
    <xdr:sp macro="[0]!Module2.March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EFDCB955-5780-4501-B511-63877D23ED10}"/>
            </a:ext>
          </a:extLst>
        </xdr:cNvPr>
        <xdr:cNvSpPr/>
      </xdr:nvSpPr>
      <xdr:spPr>
        <a:xfrm>
          <a:off x="11889761" y="201666"/>
          <a:ext cx="1213200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March</a:t>
          </a:r>
          <a:endParaRPr lang="en-PK" sz="1600" b="1"/>
        </a:p>
      </xdr:txBody>
    </xdr:sp>
    <xdr:clientData/>
  </xdr:twoCellAnchor>
  <xdr:twoCellAnchor>
    <xdr:from>
      <xdr:col>10</xdr:col>
      <xdr:colOff>512149</xdr:colOff>
      <xdr:row>0</xdr:row>
      <xdr:rowOff>211191</xdr:rowOff>
    </xdr:from>
    <xdr:to>
      <xdr:col>13</xdr:col>
      <xdr:colOff>47551</xdr:colOff>
      <xdr:row>0</xdr:row>
      <xdr:rowOff>573580</xdr:rowOff>
    </xdr:to>
    <xdr:sp macro="[0]!Module2.Februa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99F598F-7151-4667-B6F8-2473F1582B71}"/>
            </a:ext>
          </a:extLst>
        </xdr:cNvPr>
        <xdr:cNvSpPr/>
      </xdr:nvSpPr>
      <xdr:spPr>
        <a:xfrm>
          <a:off x="10494349" y="211191"/>
          <a:ext cx="1211802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February</a:t>
          </a:r>
          <a:endParaRPr lang="en-PK" sz="1600" b="1"/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0.99615</cdr:x>
      <cdr:y>0.10793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C24D230-0AF7-2A5A-DD1D-87F29B00001F}"/>
            </a:ext>
          </a:extLst>
        </cdr:cNvPr>
        <cdr:cNvSpPr/>
      </cdr:nvSpPr>
      <cdr:spPr>
        <a:xfrm xmlns:a="http://schemas.openxmlformats.org/drawingml/2006/main">
          <a:off x="0" y="0"/>
          <a:ext cx="6008085" cy="35181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Actual Expenses</a:t>
          </a:r>
          <a:endParaRPr lang="en-PK" sz="1600">
            <a:effectLst/>
          </a:endParaRPr>
        </a:p>
        <a:p xmlns:a="http://schemas.openxmlformats.org/drawingml/2006/main">
          <a:pPr algn="l"/>
          <a:endParaRPr lang="en-PK" sz="1600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1752736</xdr:colOff>
      <xdr:row>5</xdr:row>
      <xdr:rowOff>14806</xdr:rowOff>
    </xdr:from>
    <xdr:to>
      <xdr:col>6</xdr:col>
      <xdr:colOff>1801819</xdr:colOff>
      <xdr:row>11</xdr:row>
      <xdr:rowOff>56244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D7A2AB-24AE-491F-A6EA-E7C9CB3B27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184714</xdr:colOff>
      <xdr:row>12</xdr:row>
      <xdr:rowOff>164423</xdr:rowOff>
    </xdr:from>
    <xdr:to>
      <xdr:col>27</xdr:col>
      <xdr:colOff>290078</xdr:colOff>
      <xdr:row>30</xdr:row>
      <xdr:rowOff>136381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66DDAB-5B5D-41AA-A406-5E2AEF4B1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1939637</xdr:colOff>
      <xdr:row>0</xdr:row>
      <xdr:rowOff>201106</xdr:rowOff>
    </xdr:from>
    <xdr:to>
      <xdr:col>8</xdr:col>
      <xdr:colOff>183144</xdr:colOff>
      <xdr:row>0</xdr:row>
      <xdr:rowOff>588817</xdr:rowOff>
    </xdr:to>
    <xdr:sp macro="[0]!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1DDBBD-EF2B-4847-B1E6-AA53C49ECDD3}"/>
            </a:ext>
          </a:extLst>
        </xdr:cNvPr>
        <xdr:cNvSpPr/>
      </xdr:nvSpPr>
      <xdr:spPr>
        <a:xfrm>
          <a:off x="7949912" y="201106"/>
          <a:ext cx="1034332" cy="38771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Summary</a:t>
          </a:r>
          <a:endParaRPr lang="en-PK" sz="1600" b="1"/>
        </a:p>
      </xdr:txBody>
    </xdr:sp>
    <xdr:clientData/>
  </xdr:twoCellAnchor>
  <xdr:twoCellAnchor>
    <xdr:from>
      <xdr:col>8</xdr:col>
      <xdr:colOff>21028</xdr:colOff>
      <xdr:row>20</xdr:row>
      <xdr:rowOff>153775</xdr:rowOff>
    </xdr:from>
    <xdr:to>
      <xdr:col>13</xdr:col>
      <xdr:colOff>467925</xdr:colOff>
      <xdr:row>22</xdr:row>
      <xdr:rowOff>121226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B127161-4A16-4FCE-AF3B-CDD279814A86}"/>
            </a:ext>
          </a:extLst>
        </xdr:cNvPr>
        <xdr:cNvSpPr/>
      </xdr:nvSpPr>
      <xdr:spPr>
        <a:xfrm>
          <a:off x="8822128" y="5392525"/>
          <a:ext cx="3304397" cy="34845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effectLst/>
            </a:rPr>
            <a:t>Income Contribution</a:t>
          </a:r>
          <a:endParaRPr lang="en-PK" sz="1600">
            <a:effectLst/>
          </a:endParaRPr>
        </a:p>
      </xdr:txBody>
    </xdr:sp>
    <xdr:clientData/>
  </xdr:twoCellAnchor>
  <xdr:twoCellAnchor>
    <xdr:from>
      <xdr:col>8</xdr:col>
      <xdr:colOff>18628</xdr:colOff>
      <xdr:row>22</xdr:row>
      <xdr:rowOff>99883</xdr:rowOff>
    </xdr:from>
    <xdr:to>
      <xdr:col>13</xdr:col>
      <xdr:colOff>450273</xdr:colOff>
      <xdr:row>32</xdr:row>
      <xdr:rowOff>187486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033111E-16FB-40BA-9D28-992207DEF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394522</xdr:colOff>
      <xdr:row>47</xdr:row>
      <xdr:rowOff>104072</xdr:rowOff>
    </xdr:from>
    <xdr:to>
      <xdr:col>4</xdr:col>
      <xdr:colOff>1692730</xdr:colOff>
      <xdr:row>49</xdr:row>
      <xdr:rowOff>114301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569FEB2-6997-4A37-8B54-BA8724717FAD}"/>
            </a:ext>
          </a:extLst>
        </xdr:cNvPr>
        <xdr:cNvSpPr/>
      </xdr:nvSpPr>
      <xdr:spPr>
        <a:xfrm>
          <a:off x="813622" y="10676822"/>
          <a:ext cx="3860433" cy="391229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rtl="0"/>
          <a:r>
            <a:rPr lang="en-US" sz="1600" b="1" i="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Counts Based On Intervals</a:t>
          </a:r>
          <a:endParaRPr lang="en-PK" sz="16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326412</xdr:colOff>
      <xdr:row>0</xdr:row>
      <xdr:rowOff>215954</xdr:rowOff>
    </xdr:from>
    <xdr:to>
      <xdr:col>10</xdr:col>
      <xdr:colOff>385688</xdr:colOff>
      <xdr:row>0</xdr:row>
      <xdr:rowOff>578343</xdr:rowOff>
    </xdr:to>
    <xdr:sp macro="[0]!Module2.January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94B1D29-2686-4DAF-9488-A6BFD777CF7C}"/>
            </a:ext>
          </a:extLst>
        </xdr:cNvPr>
        <xdr:cNvSpPr/>
      </xdr:nvSpPr>
      <xdr:spPr>
        <a:xfrm>
          <a:off x="9127512" y="215954"/>
          <a:ext cx="1240376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January</a:t>
          </a:r>
          <a:endParaRPr lang="en-PK" sz="1600" b="1"/>
        </a:p>
      </xdr:txBody>
    </xdr:sp>
    <xdr:clientData/>
  </xdr:twoCellAnchor>
  <xdr:twoCellAnchor>
    <xdr:from>
      <xdr:col>1</xdr:col>
      <xdr:colOff>409576</xdr:colOff>
      <xdr:row>49</xdr:row>
      <xdr:rowOff>89807</xdr:rowOff>
    </xdr:from>
    <xdr:to>
      <xdr:col>4</xdr:col>
      <xdr:colOff>1719945</xdr:colOff>
      <xdr:row>58</xdr:row>
      <xdr:rowOff>35379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EC16564-3FD6-4F40-8604-D8CCA2975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193061</xdr:colOff>
      <xdr:row>0</xdr:row>
      <xdr:rowOff>201666</xdr:rowOff>
    </xdr:from>
    <xdr:to>
      <xdr:col>15</xdr:col>
      <xdr:colOff>263261</xdr:colOff>
      <xdr:row>0</xdr:row>
      <xdr:rowOff>564055</xdr:rowOff>
    </xdr:to>
    <xdr:sp macro="[0]!Module2.March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340AA09-9D99-43B2-87DC-FF3B5892D868}"/>
            </a:ext>
          </a:extLst>
        </xdr:cNvPr>
        <xdr:cNvSpPr/>
      </xdr:nvSpPr>
      <xdr:spPr>
        <a:xfrm>
          <a:off x="11889761" y="201666"/>
          <a:ext cx="1213200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March</a:t>
          </a:r>
          <a:endParaRPr lang="en-PK" sz="1600" b="1"/>
        </a:p>
      </xdr:txBody>
    </xdr:sp>
    <xdr:clientData/>
  </xdr:twoCellAnchor>
  <xdr:twoCellAnchor>
    <xdr:from>
      <xdr:col>10</xdr:col>
      <xdr:colOff>512149</xdr:colOff>
      <xdr:row>0</xdr:row>
      <xdr:rowOff>211191</xdr:rowOff>
    </xdr:from>
    <xdr:to>
      <xdr:col>13</xdr:col>
      <xdr:colOff>47551</xdr:colOff>
      <xdr:row>0</xdr:row>
      <xdr:rowOff>573580</xdr:rowOff>
    </xdr:to>
    <xdr:sp macro="[0]!Module2.Februa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3C239C6-35B1-4920-BEF1-2DAB401C301C}"/>
            </a:ext>
          </a:extLst>
        </xdr:cNvPr>
        <xdr:cNvSpPr/>
      </xdr:nvSpPr>
      <xdr:spPr>
        <a:xfrm>
          <a:off x="10494349" y="211191"/>
          <a:ext cx="1211802" cy="362389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February</a:t>
          </a:r>
          <a:endParaRPr lang="en-PK" sz="1600" b="1"/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0.99615</cdr:x>
      <cdr:y>0.10793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C24D230-0AF7-2A5A-DD1D-87F29B00001F}"/>
            </a:ext>
          </a:extLst>
        </cdr:cNvPr>
        <cdr:cNvSpPr/>
      </cdr:nvSpPr>
      <cdr:spPr>
        <a:xfrm xmlns:a="http://schemas.openxmlformats.org/drawingml/2006/main">
          <a:off x="0" y="0"/>
          <a:ext cx="6008085" cy="35181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/>
        </a:solidFill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Actual Expenses</a:t>
          </a:r>
          <a:endParaRPr lang="en-PK" sz="1600">
            <a:effectLst/>
          </a:endParaRPr>
        </a:p>
        <a:p xmlns:a="http://schemas.openxmlformats.org/drawingml/2006/main">
          <a:pPr algn="l"/>
          <a:endParaRPr lang="en-PK" sz="1600" kern="1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B1A46-2AEB-4841-A7C2-52B4B9DC71CA}">
  <sheetPr codeName="Sheet1"/>
  <dimension ref="A1:H82"/>
  <sheetViews>
    <sheetView zoomScale="80" zoomScaleNormal="80" workbookViewId="0">
      <selection activeCell="J71" sqref="J71"/>
    </sheetView>
  </sheetViews>
  <sheetFormatPr defaultColWidth="15.140625" defaultRowHeight="15" x14ac:dyDescent="0.25"/>
  <cols>
    <col min="1" max="1" width="10.42578125" bestFit="1" customWidth="1"/>
    <col min="2" max="2" width="10.42578125" customWidth="1"/>
    <col min="3" max="3" width="8.140625" bestFit="1" customWidth="1"/>
    <col min="4" max="4" width="24.140625" bestFit="1" customWidth="1"/>
    <col min="5" max="5" width="12.28515625" style="58" bestFit="1" customWidth="1"/>
    <col min="6" max="6" width="28.7109375" bestFit="1" customWidth="1"/>
  </cols>
  <sheetData>
    <row r="1" spans="1:8" x14ac:dyDescent="0.25">
      <c r="A1" s="1" t="s">
        <v>0</v>
      </c>
      <c r="B1" s="1" t="s">
        <v>77</v>
      </c>
      <c r="C1" s="1" t="s">
        <v>1</v>
      </c>
      <c r="D1" s="1" t="s">
        <v>2</v>
      </c>
      <c r="E1" s="56" t="s">
        <v>3</v>
      </c>
      <c r="F1" s="1" t="s">
        <v>4</v>
      </c>
    </row>
    <row r="2" spans="1:8" x14ac:dyDescent="0.25">
      <c r="A2" s="2">
        <v>45658</v>
      </c>
      <c r="B2" s="2" t="str">
        <f>TEXT(A2,"MMMM")</f>
        <v>January</v>
      </c>
      <c r="C2" s="3" t="s">
        <v>5</v>
      </c>
      <c r="D2" s="3" t="s">
        <v>6</v>
      </c>
      <c r="E2" s="57">
        <v>250000</v>
      </c>
      <c r="F2" s="3" t="s">
        <v>7</v>
      </c>
    </row>
    <row r="3" spans="1:8" x14ac:dyDescent="0.25">
      <c r="A3" s="2">
        <v>45659</v>
      </c>
      <c r="B3" s="2" t="str">
        <f t="shared" ref="B3:B66" si="0">TEXT(A3,"MMMM")</f>
        <v>January</v>
      </c>
      <c r="C3" s="3" t="s">
        <v>8</v>
      </c>
      <c r="D3" s="3" t="s">
        <v>9</v>
      </c>
      <c r="E3" s="57">
        <v>22000</v>
      </c>
      <c r="F3" s="3" t="s">
        <v>10</v>
      </c>
    </row>
    <row r="4" spans="1:8" x14ac:dyDescent="0.25">
      <c r="A4" s="2">
        <v>45660</v>
      </c>
      <c r="B4" s="2" t="str">
        <f t="shared" si="0"/>
        <v>January</v>
      </c>
      <c r="C4" s="3" t="s">
        <v>8</v>
      </c>
      <c r="D4" s="3" t="s">
        <v>11</v>
      </c>
      <c r="E4" s="57">
        <v>6200</v>
      </c>
      <c r="F4" s="3" t="s">
        <v>12</v>
      </c>
    </row>
    <row r="5" spans="1:8" x14ac:dyDescent="0.25">
      <c r="A5" s="2">
        <v>45661</v>
      </c>
      <c r="B5" s="2" t="str">
        <f t="shared" si="0"/>
        <v>January</v>
      </c>
      <c r="C5" s="3" t="s">
        <v>8</v>
      </c>
      <c r="D5" s="3" t="s">
        <v>13</v>
      </c>
      <c r="E5" s="57">
        <v>18000</v>
      </c>
      <c r="F5" s="3" t="s">
        <v>14</v>
      </c>
      <c r="H5" s="20"/>
    </row>
    <row r="6" spans="1:8" x14ac:dyDescent="0.25">
      <c r="A6" s="2">
        <v>45662</v>
      </c>
      <c r="B6" s="2" t="str">
        <f t="shared" si="0"/>
        <v>January</v>
      </c>
      <c r="C6" s="3" t="s">
        <v>8</v>
      </c>
      <c r="D6" s="3" t="s">
        <v>13</v>
      </c>
      <c r="E6" s="57">
        <v>4000</v>
      </c>
      <c r="F6" s="3" t="s">
        <v>15</v>
      </c>
    </row>
    <row r="7" spans="1:8" x14ac:dyDescent="0.25">
      <c r="A7" s="2">
        <v>45663</v>
      </c>
      <c r="B7" s="2" t="str">
        <f t="shared" si="0"/>
        <v>January</v>
      </c>
      <c r="C7" s="3" t="s">
        <v>8</v>
      </c>
      <c r="D7" s="3" t="s">
        <v>16</v>
      </c>
      <c r="E7" s="57">
        <v>3600</v>
      </c>
      <c r="F7" s="3" t="s">
        <v>17</v>
      </c>
    </row>
    <row r="8" spans="1:8" x14ac:dyDescent="0.25">
      <c r="A8" s="2">
        <v>45664</v>
      </c>
      <c r="B8" s="2" t="str">
        <f t="shared" si="0"/>
        <v>January</v>
      </c>
      <c r="C8" s="3" t="s">
        <v>5</v>
      </c>
      <c r="D8" s="3" t="s">
        <v>18</v>
      </c>
      <c r="E8" s="57">
        <v>55000</v>
      </c>
      <c r="F8" s="3" t="s">
        <v>19</v>
      </c>
    </row>
    <row r="9" spans="1:8" x14ac:dyDescent="0.25">
      <c r="A9" s="2">
        <v>45665</v>
      </c>
      <c r="B9" s="2" t="str">
        <f t="shared" si="0"/>
        <v>January</v>
      </c>
      <c r="C9" s="3" t="s">
        <v>8</v>
      </c>
      <c r="D9" s="3" t="s">
        <v>20</v>
      </c>
      <c r="E9" s="57">
        <v>12500</v>
      </c>
      <c r="F9" s="3" t="s">
        <v>21</v>
      </c>
    </row>
    <row r="10" spans="1:8" x14ac:dyDescent="0.25">
      <c r="A10" s="2">
        <v>45666</v>
      </c>
      <c r="B10" s="2" t="str">
        <f t="shared" si="0"/>
        <v>January</v>
      </c>
      <c r="C10" s="3" t="s">
        <v>8</v>
      </c>
      <c r="D10" s="3" t="s">
        <v>22</v>
      </c>
      <c r="E10" s="57">
        <v>18500</v>
      </c>
      <c r="F10" s="3" t="s">
        <v>23</v>
      </c>
    </row>
    <row r="11" spans="1:8" x14ac:dyDescent="0.25">
      <c r="A11" s="2">
        <v>45667</v>
      </c>
      <c r="B11" s="2" t="str">
        <f t="shared" si="0"/>
        <v>January</v>
      </c>
      <c r="C11" s="3" t="s">
        <v>5</v>
      </c>
      <c r="D11" s="3" t="s">
        <v>24</v>
      </c>
      <c r="E11" s="57">
        <v>75000</v>
      </c>
      <c r="F11" s="3" t="s">
        <v>25</v>
      </c>
    </row>
    <row r="12" spans="1:8" x14ac:dyDescent="0.25">
      <c r="A12" s="2">
        <v>45668</v>
      </c>
      <c r="B12" s="2" t="str">
        <f t="shared" si="0"/>
        <v>January</v>
      </c>
      <c r="C12" s="3" t="s">
        <v>8</v>
      </c>
      <c r="D12" s="3" t="s">
        <v>26</v>
      </c>
      <c r="E12" s="57">
        <v>9800</v>
      </c>
      <c r="F12" s="3" t="s">
        <v>27</v>
      </c>
    </row>
    <row r="13" spans="1:8" x14ac:dyDescent="0.25">
      <c r="A13" s="2">
        <v>45669</v>
      </c>
      <c r="B13" s="2" t="str">
        <f t="shared" si="0"/>
        <v>January</v>
      </c>
      <c r="C13" s="3" t="s">
        <v>8</v>
      </c>
      <c r="D13" s="3" t="s">
        <v>28</v>
      </c>
      <c r="E13" s="57">
        <v>8200</v>
      </c>
      <c r="F13" s="3" t="s">
        <v>29</v>
      </c>
    </row>
    <row r="14" spans="1:8" x14ac:dyDescent="0.25">
      <c r="A14" s="2">
        <v>45671</v>
      </c>
      <c r="B14" s="2" t="str">
        <f t="shared" si="0"/>
        <v>January</v>
      </c>
      <c r="C14" s="3" t="s">
        <v>8</v>
      </c>
      <c r="D14" s="3" t="s">
        <v>30</v>
      </c>
      <c r="E14" s="57">
        <v>35000</v>
      </c>
      <c r="F14" s="3" t="s">
        <v>31</v>
      </c>
    </row>
    <row r="15" spans="1:8" x14ac:dyDescent="0.25">
      <c r="A15" s="2">
        <v>45672</v>
      </c>
      <c r="B15" s="2" t="str">
        <f t="shared" si="0"/>
        <v>January</v>
      </c>
      <c r="C15" s="3" t="s">
        <v>8</v>
      </c>
      <c r="D15" s="3" t="s">
        <v>20</v>
      </c>
      <c r="E15" s="57">
        <v>9300</v>
      </c>
      <c r="F15" s="3" t="s">
        <v>32</v>
      </c>
    </row>
    <row r="16" spans="1:8" x14ac:dyDescent="0.25">
      <c r="A16" s="2">
        <v>45672</v>
      </c>
      <c r="B16" s="2" t="str">
        <f t="shared" si="0"/>
        <v>January</v>
      </c>
      <c r="C16" s="3" t="s">
        <v>8</v>
      </c>
      <c r="D16" s="3" t="s">
        <v>33</v>
      </c>
      <c r="E16" s="57">
        <v>40000</v>
      </c>
      <c r="F16" s="3" t="s">
        <v>34</v>
      </c>
    </row>
    <row r="17" spans="1:6" x14ac:dyDescent="0.25">
      <c r="A17" s="2">
        <v>45674</v>
      </c>
      <c r="B17" s="2" t="str">
        <f t="shared" si="0"/>
        <v>January</v>
      </c>
      <c r="C17" s="3" t="s">
        <v>8</v>
      </c>
      <c r="D17" s="3" t="s">
        <v>35</v>
      </c>
      <c r="E17" s="57">
        <v>25000</v>
      </c>
      <c r="F17" s="3" t="s">
        <v>36</v>
      </c>
    </row>
    <row r="18" spans="1:6" x14ac:dyDescent="0.25">
      <c r="A18" s="2">
        <v>45676</v>
      </c>
      <c r="B18" s="2" t="str">
        <f t="shared" si="0"/>
        <v>January</v>
      </c>
      <c r="C18" s="3" t="s">
        <v>8</v>
      </c>
      <c r="D18" s="3" t="s">
        <v>9</v>
      </c>
      <c r="E18" s="57">
        <v>14500</v>
      </c>
      <c r="F18" s="3" t="s">
        <v>37</v>
      </c>
    </row>
    <row r="19" spans="1:6" x14ac:dyDescent="0.25">
      <c r="A19" s="2">
        <v>45677</v>
      </c>
      <c r="B19" s="2" t="str">
        <f t="shared" si="0"/>
        <v>January</v>
      </c>
      <c r="C19" s="3" t="s">
        <v>8</v>
      </c>
      <c r="D19" s="3" t="s">
        <v>38</v>
      </c>
      <c r="E19" s="57">
        <v>50000</v>
      </c>
      <c r="F19" s="3" t="s">
        <v>39</v>
      </c>
    </row>
    <row r="20" spans="1:6" x14ac:dyDescent="0.25">
      <c r="A20" s="2">
        <v>45678</v>
      </c>
      <c r="B20" s="2" t="str">
        <f t="shared" si="0"/>
        <v>January</v>
      </c>
      <c r="C20" s="3" t="s">
        <v>5</v>
      </c>
      <c r="D20" s="3" t="s">
        <v>40</v>
      </c>
      <c r="E20" s="57">
        <v>110000</v>
      </c>
      <c r="F20" s="3" t="s">
        <v>41</v>
      </c>
    </row>
    <row r="21" spans="1:6" x14ac:dyDescent="0.25">
      <c r="A21" s="2">
        <v>45679</v>
      </c>
      <c r="B21" s="2" t="str">
        <f t="shared" si="0"/>
        <v>January</v>
      </c>
      <c r="C21" s="3" t="s">
        <v>8</v>
      </c>
      <c r="D21" s="3" t="s">
        <v>42</v>
      </c>
      <c r="E21" s="57">
        <v>12000</v>
      </c>
      <c r="F21" s="3" t="s">
        <v>43</v>
      </c>
    </row>
    <row r="22" spans="1:6" x14ac:dyDescent="0.25">
      <c r="A22" s="2">
        <v>45680</v>
      </c>
      <c r="B22" s="2" t="str">
        <f t="shared" si="0"/>
        <v>January</v>
      </c>
      <c r="C22" s="3" t="s">
        <v>8</v>
      </c>
      <c r="D22" s="3" t="s">
        <v>44</v>
      </c>
      <c r="E22" s="57">
        <v>18000</v>
      </c>
      <c r="F22" s="3" t="s">
        <v>45</v>
      </c>
    </row>
    <row r="23" spans="1:6" x14ac:dyDescent="0.25">
      <c r="A23" s="2">
        <v>45681</v>
      </c>
      <c r="B23" s="2" t="str">
        <f t="shared" si="0"/>
        <v>January</v>
      </c>
      <c r="C23" s="3" t="s">
        <v>8</v>
      </c>
      <c r="D23" s="3" t="s">
        <v>46</v>
      </c>
      <c r="E23" s="57">
        <v>13000</v>
      </c>
      <c r="F23" s="3" t="s">
        <v>47</v>
      </c>
    </row>
    <row r="24" spans="1:6" x14ac:dyDescent="0.25">
      <c r="A24" s="2">
        <v>45682</v>
      </c>
      <c r="B24" s="2" t="str">
        <f t="shared" si="0"/>
        <v>January</v>
      </c>
      <c r="C24" s="3" t="s">
        <v>8</v>
      </c>
      <c r="D24" s="3" t="s">
        <v>13</v>
      </c>
      <c r="E24" s="57">
        <v>3500</v>
      </c>
      <c r="F24" s="3" t="s">
        <v>48</v>
      </c>
    </row>
    <row r="25" spans="1:6" x14ac:dyDescent="0.25">
      <c r="A25" s="2">
        <v>45683</v>
      </c>
      <c r="B25" s="2" t="str">
        <f t="shared" si="0"/>
        <v>January</v>
      </c>
      <c r="C25" s="3" t="s">
        <v>5</v>
      </c>
      <c r="D25" s="3" t="s">
        <v>49</v>
      </c>
      <c r="E25" s="57">
        <v>25000</v>
      </c>
      <c r="F25" s="3" t="s">
        <v>50</v>
      </c>
    </row>
    <row r="26" spans="1:6" x14ac:dyDescent="0.25">
      <c r="A26" s="2">
        <v>45684</v>
      </c>
      <c r="B26" s="2" t="str">
        <f t="shared" si="0"/>
        <v>January</v>
      </c>
      <c r="C26" s="3" t="s">
        <v>8</v>
      </c>
      <c r="D26" s="3" t="s">
        <v>20</v>
      </c>
      <c r="E26" s="57">
        <v>5800</v>
      </c>
      <c r="F26" s="3" t="s">
        <v>51</v>
      </c>
    </row>
    <row r="27" spans="1:6" x14ac:dyDescent="0.25">
      <c r="A27" s="2">
        <v>45685</v>
      </c>
      <c r="B27" s="2" t="str">
        <f t="shared" si="0"/>
        <v>January</v>
      </c>
      <c r="C27" s="3" t="s">
        <v>8</v>
      </c>
      <c r="D27" s="3" t="s">
        <v>52</v>
      </c>
      <c r="E27" s="57">
        <v>9000</v>
      </c>
      <c r="F27" s="3" t="s">
        <v>53</v>
      </c>
    </row>
    <row r="28" spans="1:6" x14ac:dyDescent="0.25">
      <c r="A28" s="2">
        <v>45686</v>
      </c>
      <c r="B28" s="2" t="str">
        <f t="shared" si="0"/>
        <v>January</v>
      </c>
      <c r="C28" s="3" t="s">
        <v>5</v>
      </c>
      <c r="D28" s="3" t="s">
        <v>18</v>
      </c>
      <c r="E28" s="57">
        <v>70000</v>
      </c>
      <c r="F28" s="3" t="s">
        <v>54</v>
      </c>
    </row>
    <row r="29" spans="1:6" x14ac:dyDescent="0.25">
      <c r="A29" s="2">
        <v>45689</v>
      </c>
      <c r="B29" s="2" t="str">
        <f t="shared" si="0"/>
        <v>February</v>
      </c>
      <c r="C29" s="3" t="s">
        <v>5</v>
      </c>
      <c r="D29" s="3" t="s">
        <v>6</v>
      </c>
      <c r="E29" s="57">
        <v>250000</v>
      </c>
      <c r="F29" s="3" t="s">
        <v>7</v>
      </c>
    </row>
    <row r="30" spans="1:6" x14ac:dyDescent="0.25">
      <c r="A30" s="2">
        <v>45690</v>
      </c>
      <c r="B30" s="2" t="str">
        <f t="shared" si="0"/>
        <v>February</v>
      </c>
      <c r="C30" s="3" t="s">
        <v>8</v>
      </c>
      <c r="D30" s="3" t="s">
        <v>9</v>
      </c>
      <c r="E30" s="57">
        <v>19500</v>
      </c>
      <c r="F30" s="3" t="s">
        <v>10</v>
      </c>
    </row>
    <row r="31" spans="1:6" x14ac:dyDescent="0.25">
      <c r="A31" s="2">
        <v>45691</v>
      </c>
      <c r="B31" s="2" t="str">
        <f t="shared" si="0"/>
        <v>February</v>
      </c>
      <c r="C31" s="3" t="s">
        <v>8</v>
      </c>
      <c r="D31" s="3" t="s">
        <v>11</v>
      </c>
      <c r="E31" s="57">
        <v>7400</v>
      </c>
      <c r="F31" s="3" t="s">
        <v>12</v>
      </c>
    </row>
    <row r="32" spans="1:6" x14ac:dyDescent="0.25">
      <c r="A32" s="2">
        <v>45692</v>
      </c>
      <c r="B32" s="2" t="str">
        <f t="shared" si="0"/>
        <v>February</v>
      </c>
      <c r="C32" s="3" t="s">
        <v>8</v>
      </c>
      <c r="D32" s="3" t="s">
        <v>13</v>
      </c>
      <c r="E32" s="57">
        <v>18000</v>
      </c>
      <c r="F32" s="3" t="s">
        <v>14</v>
      </c>
    </row>
    <row r="33" spans="1:6" x14ac:dyDescent="0.25">
      <c r="A33" s="2">
        <v>45693</v>
      </c>
      <c r="B33" s="2" t="str">
        <f t="shared" si="0"/>
        <v>February</v>
      </c>
      <c r="C33" s="3" t="s">
        <v>8</v>
      </c>
      <c r="D33" s="3" t="s">
        <v>13</v>
      </c>
      <c r="E33" s="57">
        <v>4500</v>
      </c>
      <c r="F33" s="3" t="s">
        <v>15</v>
      </c>
    </row>
    <row r="34" spans="1:6" x14ac:dyDescent="0.25">
      <c r="A34" s="2">
        <v>45694</v>
      </c>
      <c r="B34" s="2" t="str">
        <f t="shared" si="0"/>
        <v>February</v>
      </c>
      <c r="C34" s="3" t="s">
        <v>8</v>
      </c>
      <c r="D34" s="3" t="s">
        <v>16</v>
      </c>
      <c r="E34" s="57">
        <v>3800</v>
      </c>
      <c r="F34" s="3" t="s">
        <v>17</v>
      </c>
    </row>
    <row r="35" spans="1:6" x14ac:dyDescent="0.25">
      <c r="A35" s="2">
        <v>45695</v>
      </c>
      <c r="B35" s="2" t="str">
        <f t="shared" si="0"/>
        <v>February</v>
      </c>
      <c r="C35" s="3" t="s">
        <v>5</v>
      </c>
      <c r="D35" s="3" t="s">
        <v>18</v>
      </c>
      <c r="E35" s="57">
        <v>45000</v>
      </c>
      <c r="F35" s="3" t="s">
        <v>19</v>
      </c>
    </row>
    <row r="36" spans="1:6" x14ac:dyDescent="0.25">
      <c r="A36" s="2">
        <v>45696</v>
      </c>
      <c r="B36" s="2" t="str">
        <f t="shared" si="0"/>
        <v>February</v>
      </c>
      <c r="C36" s="3" t="s">
        <v>8</v>
      </c>
      <c r="D36" s="3" t="s">
        <v>20</v>
      </c>
      <c r="E36" s="57">
        <v>11200</v>
      </c>
      <c r="F36" s="3" t="s">
        <v>21</v>
      </c>
    </row>
    <row r="37" spans="1:6" x14ac:dyDescent="0.25">
      <c r="A37" s="2">
        <v>45697</v>
      </c>
      <c r="B37" s="2" t="str">
        <f t="shared" si="0"/>
        <v>February</v>
      </c>
      <c r="C37" s="3" t="s">
        <v>8</v>
      </c>
      <c r="D37" s="3" t="s">
        <v>22</v>
      </c>
      <c r="E37" s="57">
        <v>19700</v>
      </c>
      <c r="F37" s="3" t="s">
        <v>23</v>
      </c>
    </row>
    <row r="38" spans="1:6" x14ac:dyDescent="0.25">
      <c r="A38" s="2">
        <v>45698</v>
      </c>
      <c r="B38" s="2" t="str">
        <f t="shared" si="0"/>
        <v>February</v>
      </c>
      <c r="C38" s="3" t="s">
        <v>5</v>
      </c>
      <c r="D38" s="3" t="s">
        <v>24</v>
      </c>
      <c r="E38" s="57">
        <v>75000</v>
      </c>
      <c r="F38" s="3" t="s">
        <v>25</v>
      </c>
    </row>
    <row r="39" spans="1:6" x14ac:dyDescent="0.25">
      <c r="A39" s="2">
        <v>45700</v>
      </c>
      <c r="B39" s="2" t="str">
        <f t="shared" si="0"/>
        <v>February</v>
      </c>
      <c r="C39" s="3" t="s">
        <v>8</v>
      </c>
      <c r="D39" s="3" t="s">
        <v>26</v>
      </c>
      <c r="E39" s="57">
        <v>7300</v>
      </c>
      <c r="F39" s="3" t="s">
        <v>27</v>
      </c>
    </row>
    <row r="40" spans="1:6" x14ac:dyDescent="0.25">
      <c r="A40" s="2">
        <v>45701</v>
      </c>
      <c r="B40" s="2" t="str">
        <f t="shared" si="0"/>
        <v>February</v>
      </c>
      <c r="C40" s="3" t="s">
        <v>8</v>
      </c>
      <c r="D40" s="3" t="s">
        <v>28</v>
      </c>
      <c r="E40" s="57">
        <v>9000</v>
      </c>
      <c r="F40" s="3" t="s">
        <v>55</v>
      </c>
    </row>
    <row r="41" spans="1:6" x14ac:dyDescent="0.25">
      <c r="A41" s="2">
        <v>45703</v>
      </c>
      <c r="B41" s="2" t="str">
        <f t="shared" si="0"/>
        <v>February</v>
      </c>
      <c r="C41" s="3" t="s">
        <v>8</v>
      </c>
      <c r="D41" s="3" t="s">
        <v>30</v>
      </c>
      <c r="E41" s="57">
        <v>36000</v>
      </c>
      <c r="F41" s="3" t="s">
        <v>56</v>
      </c>
    </row>
    <row r="42" spans="1:6" x14ac:dyDescent="0.25">
      <c r="A42" s="2">
        <v>45704</v>
      </c>
      <c r="B42" s="2" t="str">
        <f t="shared" si="0"/>
        <v>February</v>
      </c>
      <c r="C42" s="3" t="s">
        <v>8</v>
      </c>
      <c r="D42" s="3" t="s">
        <v>33</v>
      </c>
      <c r="E42" s="57">
        <v>30000</v>
      </c>
      <c r="F42" s="3" t="s">
        <v>34</v>
      </c>
    </row>
    <row r="43" spans="1:6" x14ac:dyDescent="0.25">
      <c r="A43" s="2">
        <v>45705</v>
      </c>
      <c r="B43" s="2" t="str">
        <f t="shared" si="0"/>
        <v>February</v>
      </c>
      <c r="C43" s="3" t="s">
        <v>8</v>
      </c>
      <c r="D43" s="3" t="s">
        <v>35</v>
      </c>
      <c r="E43" s="57">
        <v>20000</v>
      </c>
      <c r="F43" s="3" t="s">
        <v>57</v>
      </c>
    </row>
    <row r="44" spans="1:6" x14ac:dyDescent="0.25">
      <c r="A44" s="2">
        <v>45707</v>
      </c>
      <c r="B44" s="2" t="str">
        <f t="shared" si="0"/>
        <v>February</v>
      </c>
      <c r="C44" s="3" t="s">
        <v>8</v>
      </c>
      <c r="D44" s="3" t="s">
        <v>9</v>
      </c>
      <c r="E44" s="57">
        <v>11500</v>
      </c>
      <c r="F44" s="3" t="s">
        <v>58</v>
      </c>
    </row>
    <row r="45" spans="1:6" x14ac:dyDescent="0.25">
      <c r="A45" s="2">
        <v>45708</v>
      </c>
      <c r="B45" s="2" t="str">
        <f t="shared" si="0"/>
        <v>February</v>
      </c>
      <c r="C45" s="3" t="s">
        <v>8</v>
      </c>
      <c r="D45" s="3" t="s">
        <v>38</v>
      </c>
      <c r="E45" s="57">
        <v>50000</v>
      </c>
      <c r="F45" s="3" t="s">
        <v>59</v>
      </c>
    </row>
    <row r="46" spans="1:6" x14ac:dyDescent="0.25">
      <c r="A46" s="2">
        <v>45709</v>
      </c>
      <c r="B46" s="2" t="str">
        <f t="shared" si="0"/>
        <v>February</v>
      </c>
      <c r="C46" s="3" t="s">
        <v>5</v>
      </c>
      <c r="D46" s="3" t="s">
        <v>40</v>
      </c>
      <c r="E46" s="57">
        <v>95000</v>
      </c>
      <c r="F46" s="3" t="s">
        <v>41</v>
      </c>
    </row>
    <row r="47" spans="1:6" x14ac:dyDescent="0.25">
      <c r="A47" s="2">
        <v>45710</v>
      </c>
      <c r="B47" s="2" t="str">
        <f t="shared" si="0"/>
        <v>February</v>
      </c>
      <c r="C47" s="3" t="s">
        <v>8</v>
      </c>
      <c r="D47" s="3" t="s">
        <v>42</v>
      </c>
      <c r="E47" s="57">
        <v>15500</v>
      </c>
      <c r="F47" s="3" t="s">
        <v>43</v>
      </c>
    </row>
    <row r="48" spans="1:6" x14ac:dyDescent="0.25">
      <c r="A48" s="2">
        <v>45711</v>
      </c>
      <c r="B48" s="2" t="str">
        <f t="shared" si="0"/>
        <v>February</v>
      </c>
      <c r="C48" s="3" t="s">
        <v>8</v>
      </c>
      <c r="D48" s="3" t="s">
        <v>44</v>
      </c>
      <c r="E48" s="57">
        <v>18000</v>
      </c>
      <c r="F48" s="3" t="s">
        <v>45</v>
      </c>
    </row>
    <row r="49" spans="1:6" x14ac:dyDescent="0.25">
      <c r="A49" s="2">
        <v>45712</v>
      </c>
      <c r="B49" s="2" t="str">
        <f t="shared" si="0"/>
        <v>February</v>
      </c>
      <c r="C49" s="3" t="s">
        <v>8</v>
      </c>
      <c r="D49" s="3" t="s">
        <v>46</v>
      </c>
      <c r="E49" s="57">
        <v>10500</v>
      </c>
      <c r="F49" s="3" t="s">
        <v>60</v>
      </c>
    </row>
    <row r="50" spans="1:6" x14ac:dyDescent="0.25">
      <c r="A50" s="2">
        <v>45713</v>
      </c>
      <c r="B50" s="2" t="str">
        <f t="shared" si="0"/>
        <v>February</v>
      </c>
      <c r="C50" s="3" t="s">
        <v>8</v>
      </c>
      <c r="D50" s="3" t="s">
        <v>13</v>
      </c>
      <c r="E50" s="57">
        <v>3500</v>
      </c>
      <c r="F50" s="3" t="s">
        <v>48</v>
      </c>
    </row>
    <row r="51" spans="1:6" x14ac:dyDescent="0.25">
      <c r="A51" s="2">
        <v>45714</v>
      </c>
      <c r="B51" s="2" t="str">
        <f t="shared" si="0"/>
        <v>February</v>
      </c>
      <c r="C51" s="3" t="s">
        <v>5</v>
      </c>
      <c r="D51" s="3" t="s">
        <v>49</v>
      </c>
      <c r="E51" s="57">
        <v>25000</v>
      </c>
      <c r="F51" s="3" t="s">
        <v>50</v>
      </c>
    </row>
    <row r="52" spans="1:6" x14ac:dyDescent="0.25">
      <c r="A52" s="2">
        <v>45715</v>
      </c>
      <c r="B52" s="2" t="str">
        <f t="shared" si="0"/>
        <v>February</v>
      </c>
      <c r="C52" s="3" t="s">
        <v>8</v>
      </c>
      <c r="D52" s="3" t="s">
        <v>20</v>
      </c>
      <c r="E52" s="57">
        <v>6800</v>
      </c>
      <c r="F52" s="3" t="s">
        <v>51</v>
      </c>
    </row>
    <row r="53" spans="1:6" x14ac:dyDescent="0.25">
      <c r="A53" s="2">
        <v>45716</v>
      </c>
      <c r="B53" s="2" t="str">
        <f t="shared" si="0"/>
        <v>February</v>
      </c>
      <c r="C53" s="3" t="s">
        <v>8</v>
      </c>
      <c r="D53" s="3" t="s">
        <v>52</v>
      </c>
      <c r="E53" s="57">
        <v>8000</v>
      </c>
      <c r="F53" s="3" t="s">
        <v>61</v>
      </c>
    </row>
    <row r="54" spans="1:6" x14ac:dyDescent="0.25">
      <c r="A54" s="2">
        <v>45717</v>
      </c>
      <c r="B54" s="2" t="str">
        <f t="shared" si="0"/>
        <v>March</v>
      </c>
      <c r="C54" s="3" t="s">
        <v>5</v>
      </c>
      <c r="D54" s="3" t="s">
        <v>6</v>
      </c>
      <c r="E54" s="57">
        <v>250000</v>
      </c>
      <c r="F54" s="3" t="s">
        <v>7</v>
      </c>
    </row>
    <row r="55" spans="1:6" x14ac:dyDescent="0.25">
      <c r="A55" s="2">
        <v>45718</v>
      </c>
      <c r="B55" s="2" t="str">
        <f t="shared" si="0"/>
        <v>March</v>
      </c>
      <c r="C55" s="3" t="s">
        <v>8</v>
      </c>
      <c r="D55" s="3" t="s">
        <v>9</v>
      </c>
      <c r="E55" s="57">
        <v>30000</v>
      </c>
      <c r="F55" s="3" t="s">
        <v>62</v>
      </c>
    </row>
    <row r="56" spans="1:6" x14ac:dyDescent="0.25">
      <c r="A56" s="2">
        <v>45719</v>
      </c>
      <c r="B56" s="2" t="str">
        <f t="shared" si="0"/>
        <v>March</v>
      </c>
      <c r="C56" s="3" t="s">
        <v>8</v>
      </c>
      <c r="D56" s="3" t="s">
        <v>11</v>
      </c>
      <c r="E56" s="57">
        <v>9000</v>
      </c>
      <c r="F56" s="3" t="s">
        <v>12</v>
      </c>
    </row>
    <row r="57" spans="1:6" x14ac:dyDescent="0.25">
      <c r="A57" s="2">
        <v>45720</v>
      </c>
      <c r="B57" s="2" t="str">
        <f t="shared" si="0"/>
        <v>March</v>
      </c>
      <c r="C57" s="3" t="s">
        <v>8</v>
      </c>
      <c r="D57" s="3" t="s">
        <v>13</v>
      </c>
      <c r="E57" s="57">
        <v>18000</v>
      </c>
      <c r="F57" s="3" t="s">
        <v>14</v>
      </c>
    </row>
    <row r="58" spans="1:6" x14ac:dyDescent="0.25">
      <c r="A58" s="2">
        <v>45721</v>
      </c>
      <c r="B58" s="2" t="str">
        <f t="shared" si="0"/>
        <v>March</v>
      </c>
      <c r="C58" s="3" t="s">
        <v>8</v>
      </c>
      <c r="D58" s="3" t="s">
        <v>13</v>
      </c>
      <c r="E58" s="57">
        <v>4500</v>
      </c>
      <c r="F58" s="3" t="s">
        <v>15</v>
      </c>
    </row>
    <row r="59" spans="1:6" x14ac:dyDescent="0.25">
      <c r="A59" s="2">
        <v>45722</v>
      </c>
      <c r="B59" s="2" t="str">
        <f t="shared" si="0"/>
        <v>March</v>
      </c>
      <c r="C59" s="3" t="s">
        <v>8</v>
      </c>
      <c r="D59" s="3" t="s">
        <v>16</v>
      </c>
      <c r="E59" s="57">
        <v>4500</v>
      </c>
      <c r="F59" s="3" t="s">
        <v>63</v>
      </c>
    </row>
    <row r="60" spans="1:6" x14ac:dyDescent="0.25">
      <c r="A60" s="2">
        <v>45723</v>
      </c>
      <c r="B60" s="2" t="str">
        <f t="shared" si="0"/>
        <v>March</v>
      </c>
      <c r="C60" s="3" t="s">
        <v>5</v>
      </c>
      <c r="D60" s="3" t="s">
        <v>18</v>
      </c>
      <c r="E60" s="57">
        <v>80000</v>
      </c>
      <c r="F60" s="3" t="s">
        <v>54</v>
      </c>
    </row>
    <row r="61" spans="1:6" x14ac:dyDescent="0.25">
      <c r="A61" s="2">
        <v>45724</v>
      </c>
      <c r="B61" s="2" t="str">
        <f t="shared" si="0"/>
        <v>March</v>
      </c>
      <c r="C61" s="3" t="s">
        <v>8</v>
      </c>
      <c r="D61" s="3" t="s">
        <v>20</v>
      </c>
      <c r="E61" s="57">
        <v>13200</v>
      </c>
      <c r="F61" s="3" t="s">
        <v>21</v>
      </c>
    </row>
    <row r="62" spans="1:6" x14ac:dyDescent="0.25">
      <c r="A62" s="2">
        <v>45725</v>
      </c>
      <c r="B62" s="2" t="str">
        <f t="shared" si="0"/>
        <v>March</v>
      </c>
      <c r="C62" s="3" t="s">
        <v>8</v>
      </c>
      <c r="D62" s="3" t="s">
        <v>22</v>
      </c>
      <c r="E62" s="57">
        <v>22000</v>
      </c>
      <c r="F62" s="3" t="s">
        <v>64</v>
      </c>
    </row>
    <row r="63" spans="1:6" x14ac:dyDescent="0.25">
      <c r="A63" s="2">
        <v>45726</v>
      </c>
      <c r="B63" s="2" t="str">
        <f t="shared" si="0"/>
        <v>March</v>
      </c>
      <c r="C63" s="3" t="s">
        <v>5</v>
      </c>
      <c r="D63" s="3" t="s">
        <v>24</v>
      </c>
      <c r="E63" s="57">
        <v>75000</v>
      </c>
      <c r="F63" s="3" t="s">
        <v>25</v>
      </c>
    </row>
    <row r="64" spans="1:6" x14ac:dyDescent="0.25">
      <c r="A64" s="2">
        <v>45728</v>
      </c>
      <c r="B64" s="2" t="str">
        <f t="shared" si="0"/>
        <v>March</v>
      </c>
      <c r="C64" s="3" t="s">
        <v>8</v>
      </c>
      <c r="D64" s="3" t="s">
        <v>26</v>
      </c>
      <c r="E64" s="57">
        <v>10200</v>
      </c>
      <c r="F64" s="3" t="s">
        <v>27</v>
      </c>
    </row>
    <row r="65" spans="1:6" x14ac:dyDescent="0.25">
      <c r="A65" s="2">
        <v>45729</v>
      </c>
      <c r="B65" s="2" t="str">
        <f t="shared" si="0"/>
        <v>March</v>
      </c>
      <c r="C65" s="3" t="s">
        <v>8</v>
      </c>
      <c r="D65" s="3" t="s">
        <v>28</v>
      </c>
      <c r="E65" s="57">
        <v>11500</v>
      </c>
      <c r="F65" s="3" t="s">
        <v>65</v>
      </c>
    </row>
    <row r="66" spans="1:6" x14ac:dyDescent="0.25">
      <c r="A66" s="2">
        <v>45730</v>
      </c>
      <c r="B66" s="2" t="str">
        <f t="shared" si="0"/>
        <v>March</v>
      </c>
      <c r="C66" s="3" t="s">
        <v>8</v>
      </c>
      <c r="D66" s="3" t="s">
        <v>30</v>
      </c>
      <c r="E66" s="57">
        <v>35000</v>
      </c>
      <c r="F66" s="3" t="s">
        <v>31</v>
      </c>
    </row>
    <row r="67" spans="1:6" x14ac:dyDescent="0.25">
      <c r="A67" s="2">
        <v>45731</v>
      </c>
      <c r="B67" s="2" t="str">
        <f t="shared" ref="B67:B81" si="1">TEXT(A67,"MMMM")</f>
        <v>March</v>
      </c>
      <c r="C67" s="3" t="s">
        <v>8</v>
      </c>
      <c r="D67" s="3" t="s">
        <v>33</v>
      </c>
      <c r="E67" s="57">
        <v>45000</v>
      </c>
      <c r="F67" s="3" t="s">
        <v>66</v>
      </c>
    </row>
    <row r="68" spans="1:6" x14ac:dyDescent="0.25">
      <c r="A68" s="2">
        <v>45732</v>
      </c>
      <c r="B68" s="2" t="str">
        <f t="shared" si="1"/>
        <v>March</v>
      </c>
      <c r="C68" s="3" t="s">
        <v>8</v>
      </c>
      <c r="D68" s="3" t="s">
        <v>35</v>
      </c>
      <c r="E68" s="57">
        <v>30000</v>
      </c>
      <c r="F68" s="3" t="s">
        <v>67</v>
      </c>
    </row>
    <row r="69" spans="1:6" x14ac:dyDescent="0.25">
      <c r="A69" s="2">
        <v>45733</v>
      </c>
      <c r="B69" s="2" t="str">
        <f t="shared" si="1"/>
        <v>March</v>
      </c>
      <c r="C69" s="3" t="s">
        <v>8</v>
      </c>
      <c r="D69" s="3" t="s">
        <v>9</v>
      </c>
      <c r="E69" s="57">
        <v>20500</v>
      </c>
      <c r="F69" s="3" t="s">
        <v>68</v>
      </c>
    </row>
    <row r="70" spans="1:6" x14ac:dyDescent="0.25">
      <c r="A70" s="2">
        <v>45734</v>
      </c>
      <c r="B70" s="2" t="str">
        <f t="shared" si="1"/>
        <v>March</v>
      </c>
      <c r="C70" s="3" t="s">
        <v>8</v>
      </c>
      <c r="D70" s="3" t="s">
        <v>69</v>
      </c>
      <c r="E70" s="57">
        <v>35000</v>
      </c>
      <c r="F70" s="3" t="s">
        <v>70</v>
      </c>
    </row>
    <row r="71" spans="1:6" x14ac:dyDescent="0.25">
      <c r="A71" s="2">
        <v>45735</v>
      </c>
      <c r="B71" s="2" t="str">
        <f t="shared" si="1"/>
        <v>March</v>
      </c>
      <c r="C71" s="3" t="s">
        <v>8</v>
      </c>
      <c r="D71" s="3" t="s">
        <v>46</v>
      </c>
      <c r="E71" s="57">
        <v>28500</v>
      </c>
      <c r="F71" s="3" t="s">
        <v>71</v>
      </c>
    </row>
    <row r="72" spans="1:6" x14ac:dyDescent="0.25">
      <c r="A72" s="2">
        <v>45736</v>
      </c>
      <c r="B72" s="2" t="str">
        <f t="shared" si="1"/>
        <v>March</v>
      </c>
      <c r="C72" s="3" t="s">
        <v>8</v>
      </c>
      <c r="D72" s="3" t="s">
        <v>38</v>
      </c>
      <c r="E72" s="57">
        <v>50000</v>
      </c>
      <c r="F72" s="3" t="s">
        <v>72</v>
      </c>
    </row>
    <row r="73" spans="1:6" x14ac:dyDescent="0.25">
      <c r="A73" s="2">
        <v>45737</v>
      </c>
      <c r="B73" s="2" t="str">
        <f t="shared" si="1"/>
        <v>March</v>
      </c>
      <c r="C73" s="3" t="s">
        <v>5</v>
      </c>
      <c r="D73" s="3" t="s">
        <v>40</v>
      </c>
      <c r="E73" s="57">
        <v>105000</v>
      </c>
      <c r="F73" s="3" t="s">
        <v>41</v>
      </c>
    </row>
    <row r="74" spans="1:6" x14ac:dyDescent="0.25">
      <c r="A74" s="2">
        <v>45738</v>
      </c>
      <c r="B74" s="2" t="str">
        <f t="shared" si="1"/>
        <v>March</v>
      </c>
      <c r="C74" s="3" t="s">
        <v>8</v>
      </c>
      <c r="D74" s="3" t="s">
        <v>42</v>
      </c>
      <c r="E74" s="57">
        <v>16000</v>
      </c>
      <c r="F74" s="3" t="s">
        <v>73</v>
      </c>
    </row>
    <row r="75" spans="1:6" x14ac:dyDescent="0.25">
      <c r="A75" s="2">
        <v>45739</v>
      </c>
      <c r="B75" s="2" t="str">
        <f t="shared" si="1"/>
        <v>March</v>
      </c>
      <c r="C75" s="3" t="s">
        <v>8</v>
      </c>
      <c r="D75" s="3" t="s">
        <v>44</v>
      </c>
      <c r="E75" s="57">
        <v>18000</v>
      </c>
      <c r="F75" s="3" t="s">
        <v>45</v>
      </c>
    </row>
    <row r="76" spans="1:6" x14ac:dyDescent="0.25">
      <c r="A76" s="2">
        <v>45740</v>
      </c>
      <c r="B76" s="2" t="str">
        <f t="shared" si="1"/>
        <v>March</v>
      </c>
      <c r="C76" s="3" t="s">
        <v>8</v>
      </c>
      <c r="D76" s="3" t="s">
        <v>46</v>
      </c>
      <c r="E76" s="57">
        <v>15000</v>
      </c>
      <c r="F76" s="3" t="s">
        <v>74</v>
      </c>
    </row>
    <row r="77" spans="1:6" x14ac:dyDescent="0.25">
      <c r="A77" s="2">
        <v>45741</v>
      </c>
      <c r="B77" s="2" t="str">
        <f t="shared" si="1"/>
        <v>March</v>
      </c>
      <c r="C77" s="3" t="s">
        <v>8</v>
      </c>
      <c r="D77" s="3" t="s">
        <v>13</v>
      </c>
      <c r="E77" s="57">
        <v>3500</v>
      </c>
      <c r="F77" s="3" t="s">
        <v>48</v>
      </c>
    </row>
    <row r="78" spans="1:6" x14ac:dyDescent="0.25">
      <c r="A78" s="2">
        <v>45742</v>
      </c>
      <c r="B78" s="2" t="str">
        <f t="shared" si="1"/>
        <v>March</v>
      </c>
      <c r="C78" s="3" t="s">
        <v>5</v>
      </c>
      <c r="D78" s="3" t="s">
        <v>49</v>
      </c>
      <c r="E78" s="57">
        <v>25000</v>
      </c>
      <c r="F78" s="3" t="s">
        <v>50</v>
      </c>
    </row>
    <row r="79" spans="1:6" x14ac:dyDescent="0.25">
      <c r="A79" s="2">
        <v>45743</v>
      </c>
      <c r="B79" s="2" t="str">
        <f t="shared" si="1"/>
        <v>March</v>
      </c>
      <c r="C79" s="3" t="s">
        <v>8</v>
      </c>
      <c r="D79" s="3" t="s">
        <v>20</v>
      </c>
      <c r="E79" s="57">
        <v>6500</v>
      </c>
      <c r="F79" s="3" t="s">
        <v>51</v>
      </c>
    </row>
    <row r="80" spans="1:6" x14ac:dyDescent="0.25">
      <c r="A80" s="2">
        <v>45744</v>
      </c>
      <c r="B80" s="2" t="str">
        <f t="shared" si="1"/>
        <v>March</v>
      </c>
      <c r="C80" s="3" t="s">
        <v>8</v>
      </c>
      <c r="D80" s="3" t="s">
        <v>52</v>
      </c>
      <c r="E80" s="57">
        <v>12500</v>
      </c>
      <c r="F80" s="3" t="s">
        <v>75</v>
      </c>
    </row>
    <row r="81" spans="1:6" x14ac:dyDescent="0.25">
      <c r="A81" s="2">
        <v>45745</v>
      </c>
      <c r="B81" s="2" t="str">
        <f t="shared" si="1"/>
        <v>March</v>
      </c>
      <c r="C81" s="3" t="s">
        <v>5</v>
      </c>
      <c r="D81" s="3" t="s">
        <v>18</v>
      </c>
      <c r="E81" s="57">
        <v>60000</v>
      </c>
      <c r="F81" s="3" t="s">
        <v>76</v>
      </c>
    </row>
    <row r="82" spans="1:6" x14ac:dyDescent="0.25">
      <c r="A82" s="140"/>
      <c r="B82" s="140"/>
      <c r="C82" s="141"/>
      <c r="D82" s="141"/>
      <c r="E82" s="142"/>
      <c r="F82" s="14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72C36-07A3-4A99-8928-B97FADEE3E0A}">
  <sheetPr codeName="Sheet8"/>
  <dimension ref="A1:W47"/>
  <sheetViews>
    <sheetView showGridLines="0" tabSelected="1" zoomScale="50" zoomScaleNormal="50" workbookViewId="0">
      <selection activeCell="D59" sqref="D59"/>
    </sheetView>
  </sheetViews>
  <sheetFormatPr defaultRowHeight="15" x14ac:dyDescent="0.25"/>
  <cols>
    <col min="1" max="1" width="31.28515625" customWidth="1"/>
    <col min="2" max="2" width="21.28515625" style="5" customWidth="1"/>
    <col min="3" max="3" width="15.28515625" customWidth="1"/>
    <col min="4" max="4" width="15.140625" customWidth="1"/>
    <col min="5" max="5" width="13" customWidth="1"/>
    <col min="6" max="6" width="14.140625" customWidth="1"/>
    <col min="7" max="7" width="14.85546875" customWidth="1"/>
    <col min="8" max="8" width="12.7109375" customWidth="1"/>
    <col min="9" max="9" width="12" customWidth="1"/>
    <col min="10" max="10" width="11.7109375" customWidth="1"/>
    <col min="11" max="11" width="7.7109375" customWidth="1"/>
    <col min="12" max="15" width="12.28515625" customWidth="1"/>
    <col min="16" max="16" width="30.42578125" bestFit="1" customWidth="1"/>
    <col min="17" max="17" width="15" customWidth="1"/>
    <col min="18" max="18" width="13.140625" bestFit="1" customWidth="1"/>
    <col min="19" max="19" width="16.42578125" customWidth="1"/>
    <col min="20" max="20" width="36.85546875" customWidth="1"/>
    <col min="21" max="21" width="10.42578125" bestFit="1" customWidth="1"/>
    <col min="22" max="22" width="23" bestFit="1" customWidth="1"/>
    <col min="23" max="23" width="5.7109375" hidden="1" customWidth="1"/>
  </cols>
  <sheetData>
    <row r="1" spans="1:17" s="149" customFormat="1" ht="55.5" customHeight="1" x14ac:dyDescent="0.25">
      <c r="A1" s="149" t="s">
        <v>111</v>
      </c>
    </row>
    <row r="4" spans="1:17" ht="45.75" customHeight="1" x14ac:dyDescent="0.25">
      <c r="B4" s="98" t="s">
        <v>115</v>
      </c>
      <c r="H4" t="s">
        <v>119</v>
      </c>
    </row>
    <row r="5" spans="1:17" ht="22.5" x14ac:dyDescent="0.25">
      <c r="L5" s="180" t="s">
        <v>84</v>
      </c>
      <c r="M5" s="181"/>
      <c r="N5" s="181"/>
      <c r="O5" s="182"/>
      <c r="P5" s="167"/>
      <c r="Q5" s="168"/>
    </row>
    <row r="6" spans="1:17" ht="15" customHeight="1" x14ac:dyDescent="0.25">
      <c r="L6" s="161" t="str" cm="1">
        <f t="array" ref="L6">_xlfn.XLOOKUP(L8,B23:B39,_xlfn.ANCHORARRAY(A23),"Not Found",0,1)</f>
        <v>Milk</v>
      </c>
      <c r="M6" s="162"/>
      <c r="N6" s="162"/>
      <c r="O6" s="163"/>
      <c r="P6" s="145"/>
      <c r="Q6" s="146"/>
    </row>
    <row r="7" spans="1:17" x14ac:dyDescent="0.25">
      <c r="L7" s="161"/>
      <c r="M7" s="162"/>
      <c r="N7" s="162"/>
      <c r="O7" s="163"/>
      <c r="P7" s="68"/>
      <c r="Q7" s="69"/>
    </row>
    <row r="8" spans="1:17" ht="25.5" x14ac:dyDescent="0.25">
      <c r="A8" s="82" t="s">
        <v>81</v>
      </c>
      <c r="B8" s="70" t="s">
        <v>98</v>
      </c>
      <c r="C8" s="70" t="s">
        <v>109</v>
      </c>
      <c r="D8" s="70" t="s">
        <v>110</v>
      </c>
      <c r="E8" s="70" t="s">
        <v>88</v>
      </c>
      <c r="F8" s="71" t="s">
        <v>113</v>
      </c>
      <c r="L8" s="183">
        <f>MIN(B23:B39)</f>
        <v>11900</v>
      </c>
      <c r="M8" s="184"/>
      <c r="N8" s="184"/>
      <c r="O8" s="185"/>
      <c r="P8" s="169" t="s">
        <v>86</v>
      </c>
      <c r="Q8" s="170"/>
    </row>
    <row r="9" spans="1:17" ht="18.75" x14ac:dyDescent="0.3">
      <c r="A9" s="72" t="s">
        <v>78</v>
      </c>
      <c r="B9" s="73">
        <f>January!$D8</f>
        <v>585000</v>
      </c>
      <c r="C9" s="73">
        <f>February!D8</f>
        <v>490000</v>
      </c>
      <c r="D9" s="73">
        <f>March!D8</f>
        <v>535000</v>
      </c>
      <c r="E9" s="73">
        <f>SUM(B9:D9)</f>
        <v>1610000</v>
      </c>
      <c r="F9" s="74"/>
      <c r="L9" s="186"/>
      <c r="M9" s="187"/>
      <c r="N9" s="187"/>
      <c r="O9" s="188"/>
      <c r="P9" s="156">
        <f>E11</f>
        <v>523500</v>
      </c>
      <c r="Q9" s="157"/>
    </row>
    <row r="10" spans="1:17" ht="18.75" x14ac:dyDescent="0.3">
      <c r="A10" s="72" t="s">
        <v>79</v>
      </c>
      <c r="B10" s="73">
        <f>January!$D9</f>
        <v>337900</v>
      </c>
      <c r="C10" s="73">
        <f>February!D9</f>
        <v>310200</v>
      </c>
      <c r="D10" s="73">
        <f>March!D9</f>
        <v>438400</v>
      </c>
      <c r="E10" s="73">
        <f t="shared" ref="E10:E11" si="0">SUM(B10:D10)</f>
        <v>1086500</v>
      </c>
      <c r="F10" s="74"/>
      <c r="L10" s="186"/>
      <c r="M10" s="187"/>
      <c r="N10" s="187"/>
      <c r="O10" s="188"/>
      <c r="P10" s="156"/>
      <c r="Q10" s="157"/>
    </row>
    <row r="11" spans="1:17" ht="22.5" x14ac:dyDescent="0.3">
      <c r="A11" s="75" t="s">
        <v>80</v>
      </c>
      <c r="B11" s="76">
        <f>B9-B10</f>
        <v>247100</v>
      </c>
      <c r="C11" s="76">
        <f>February!D10</f>
        <v>179800</v>
      </c>
      <c r="D11" s="76">
        <f>March!D10</f>
        <v>96600</v>
      </c>
      <c r="E11" s="76">
        <f t="shared" si="0"/>
        <v>523500</v>
      </c>
      <c r="F11" s="77"/>
      <c r="L11" s="189" t="s">
        <v>85</v>
      </c>
      <c r="M11" s="190"/>
      <c r="N11" s="190"/>
      <c r="O11" s="191"/>
      <c r="P11" s="143" t="str" cm="1">
        <f t="array" ref="P11">_xlfn.IFS(P9&gt;=800000,"High Savings",P9&gt;500000,"Medium Savings",P9&lt;=500000,"Low Savings",P9&lt;=0,"No Savings")</f>
        <v>Medium Savings</v>
      </c>
      <c r="Q11" s="144"/>
    </row>
    <row r="12" spans="1:17" ht="23.25" customHeight="1" x14ac:dyDescent="0.25">
      <c r="L12" s="164" t="str" cm="1">
        <f t="array" ref="L12">_xlfn.XLOOKUP(L14,B23:B39,_xlfn.ANCHORARRAY(A23),"Not Found",0,1)</f>
        <v>Taxes</v>
      </c>
      <c r="M12" s="165"/>
      <c r="N12" s="165"/>
      <c r="O12" s="166"/>
      <c r="P12" s="145"/>
      <c r="Q12" s="146"/>
    </row>
    <row r="13" spans="1:17" ht="23.25" customHeight="1" x14ac:dyDescent="0.25">
      <c r="L13" s="164"/>
      <c r="M13" s="165"/>
      <c r="N13" s="165"/>
      <c r="O13" s="166"/>
      <c r="P13" s="145"/>
      <c r="Q13" s="146"/>
    </row>
    <row r="14" spans="1:17" ht="22.5" x14ac:dyDescent="0.25">
      <c r="A14" s="81" t="s">
        <v>82</v>
      </c>
      <c r="B14" s="93" t="s">
        <v>3</v>
      </c>
      <c r="C14" s="150" t="s">
        <v>114</v>
      </c>
      <c r="D14" s="151"/>
      <c r="E14" s="151"/>
      <c r="F14" s="151"/>
      <c r="G14" s="151"/>
      <c r="H14" s="151"/>
      <c r="I14" s="151"/>
      <c r="J14" s="152"/>
      <c r="L14" s="158">
        <f>MAX(B27:B39)</f>
        <v>150000</v>
      </c>
      <c r="M14" s="159"/>
      <c r="N14" s="159"/>
      <c r="O14" s="160"/>
      <c r="P14" s="147"/>
      <c r="Q14" s="148"/>
    </row>
    <row r="15" spans="1:17" ht="15.75" x14ac:dyDescent="0.25">
      <c r="A15" s="78" t="str" cm="1">
        <f t="array" ref="A15:A19">_xlfn.UNIQUE(_xlfn._xlws.FILTER(Category,Type="Income"))</f>
        <v>Salary</v>
      </c>
      <c r="B15" s="94">
        <f>SUMIF(Category,A15,Amount)</f>
        <v>750000</v>
      </c>
      <c r="C15" s="153"/>
      <c r="D15" s="154"/>
      <c r="E15" s="154"/>
      <c r="F15" s="154"/>
      <c r="G15" s="154"/>
      <c r="H15" s="154"/>
      <c r="I15" s="154"/>
      <c r="J15" s="155"/>
    </row>
    <row r="16" spans="1:17" ht="15.75" x14ac:dyDescent="0.25">
      <c r="A16" s="78" t="str">
        <v>Freelancing</v>
      </c>
      <c r="B16" s="94">
        <f>SUMIF(Category,A16,Amount)</f>
        <v>310000</v>
      </c>
      <c r="C16" s="96"/>
      <c r="D16" s="84"/>
      <c r="E16" s="84"/>
      <c r="F16" s="84"/>
      <c r="G16" s="84"/>
      <c r="H16" s="84"/>
      <c r="I16" s="84"/>
      <c r="J16" s="85"/>
    </row>
    <row r="17" spans="1:20" ht="15.75" x14ac:dyDescent="0.25">
      <c r="A17" s="78" t="str">
        <v>Apartment Rent</v>
      </c>
      <c r="B17" s="94">
        <f>SUMIF(Category,A17,Amount)</f>
        <v>225000</v>
      </c>
      <c r="C17" s="97"/>
      <c r="D17" s="86"/>
      <c r="E17" s="86"/>
      <c r="F17" s="86"/>
      <c r="G17" s="86"/>
      <c r="H17" s="86"/>
      <c r="I17" s="86"/>
      <c r="J17" s="87"/>
    </row>
    <row r="18" spans="1:20" ht="15.75" x14ac:dyDescent="0.25">
      <c r="A18" s="78" t="str">
        <v>Business</v>
      </c>
      <c r="B18" s="94">
        <f>SUMIF(Category,A18,Amount)</f>
        <v>310000</v>
      </c>
      <c r="C18" s="97"/>
      <c r="D18" s="86"/>
      <c r="E18" s="86"/>
      <c r="F18" s="86"/>
      <c r="G18" s="86"/>
      <c r="H18" s="86"/>
      <c r="I18" s="86"/>
      <c r="J18" s="87"/>
    </row>
    <row r="19" spans="1:20" ht="15.75" x14ac:dyDescent="0.25">
      <c r="A19" s="79" t="str">
        <v>Car Rent</v>
      </c>
      <c r="B19" s="95">
        <f>SUMIF(Category,A19,Amount)</f>
        <v>75000</v>
      </c>
      <c r="C19" s="97"/>
      <c r="D19" s="86"/>
      <c r="E19" s="86"/>
      <c r="F19" s="86"/>
      <c r="G19" s="86"/>
      <c r="H19" s="86"/>
      <c r="I19" s="86"/>
      <c r="J19" s="87"/>
    </row>
    <row r="20" spans="1:20" x14ac:dyDescent="0.25">
      <c r="C20" s="172" t="s">
        <v>9</v>
      </c>
      <c r="D20" s="173"/>
      <c r="E20" s="173" t="s">
        <v>11</v>
      </c>
      <c r="F20" s="173"/>
      <c r="G20" s="173" t="s">
        <v>13</v>
      </c>
      <c r="H20" s="173"/>
      <c r="I20" s="173" t="s">
        <v>16</v>
      </c>
      <c r="J20" s="174"/>
    </row>
    <row r="21" spans="1:20" ht="15.75" customHeight="1" x14ac:dyDescent="0.25">
      <c r="A21" s="66"/>
      <c r="B21" s="67"/>
      <c r="C21" s="172"/>
      <c r="D21" s="173"/>
      <c r="E21" s="173"/>
      <c r="F21" s="173"/>
      <c r="G21" s="173"/>
      <c r="H21" s="173"/>
      <c r="I21" s="173"/>
      <c r="J21" s="174"/>
    </row>
    <row r="22" spans="1:20" ht="27.75" customHeight="1" x14ac:dyDescent="0.25">
      <c r="A22" s="81" t="s">
        <v>83</v>
      </c>
      <c r="B22" s="93" t="s">
        <v>3</v>
      </c>
      <c r="C22" s="175" cm="1">
        <f t="array" ref="C22">_xlfn.XLOOKUP(C20,_xlfn.ANCHORARRAY($A$23),$B$23:$B$39,0,0,1)</f>
        <v>118000</v>
      </c>
      <c r="D22" s="176"/>
      <c r="E22" s="176" cm="1">
        <f t="array" ref="E22">_xlfn.XLOOKUP(E20,_xlfn.ANCHORARRAY($A$23),$B$23:$B$39,0,0,1)</f>
        <v>22600</v>
      </c>
      <c r="F22" s="176"/>
      <c r="G22" s="176" cm="1">
        <f t="array" ref="G22">_xlfn.XLOOKUP(G20,_xlfn.ANCHORARRAY($A$23),$B$23:$B$39,0,0,1)</f>
        <v>77500</v>
      </c>
      <c r="H22" s="176"/>
      <c r="I22" s="176" cm="1">
        <f t="array" ref="I22">_xlfn.XLOOKUP(I20,_xlfn.ANCHORARRAY($A$23),$B$23:$B$39,0,0,1)</f>
        <v>11900</v>
      </c>
      <c r="J22" s="177"/>
    </row>
    <row r="23" spans="1:20" ht="20.25" x14ac:dyDescent="0.3">
      <c r="A23" s="80" t="str" cm="1">
        <f t="array" ref="A23:A39">_xlfn.UNIQUE(_xlfn._xlws.FILTER(Category,Type="Expense"))</f>
        <v>Groceries</v>
      </c>
      <c r="B23" s="83">
        <f t="shared" ref="B23:B39" si="1">SUMIF(Category,A23,Amount)</f>
        <v>118000</v>
      </c>
      <c r="C23" s="90"/>
      <c r="D23" s="88"/>
      <c r="E23" s="88"/>
      <c r="F23" s="88"/>
      <c r="G23" s="88"/>
      <c r="H23" s="88"/>
      <c r="I23" s="88"/>
      <c r="J23" s="89"/>
      <c r="S23" s="132" t="s">
        <v>116</v>
      </c>
      <c r="T23" s="133"/>
    </row>
    <row r="24" spans="1:20" ht="15.75" x14ac:dyDescent="0.25">
      <c r="A24" s="80" t="str">
        <v>Fruits &amp; Vegetables</v>
      </c>
      <c r="B24" s="83">
        <f t="shared" si="1"/>
        <v>22600</v>
      </c>
      <c r="C24" s="90"/>
      <c r="D24" s="88"/>
      <c r="E24" s="88"/>
      <c r="F24" s="88"/>
      <c r="G24" s="88"/>
      <c r="H24" s="88"/>
      <c r="I24" s="88"/>
      <c r="J24" s="89"/>
      <c r="S24" s="125" t="s">
        <v>1</v>
      </c>
      <c r="T24" s="128" t="s">
        <v>5</v>
      </c>
    </row>
    <row r="25" spans="1:20" ht="15.75" x14ac:dyDescent="0.25">
      <c r="A25" s="80" t="str">
        <v>House Help Workers</v>
      </c>
      <c r="B25" s="83">
        <f t="shared" si="1"/>
        <v>77500</v>
      </c>
      <c r="C25" s="90"/>
      <c r="D25" s="88"/>
      <c r="E25" s="88"/>
      <c r="F25" s="88"/>
      <c r="G25" s="88"/>
      <c r="H25" s="88"/>
      <c r="I25" s="88"/>
      <c r="J25" s="89"/>
      <c r="S25" s="126" t="s">
        <v>2</v>
      </c>
      <c r="T25" s="129" t="s">
        <v>40</v>
      </c>
    </row>
    <row r="26" spans="1:20" ht="15.75" x14ac:dyDescent="0.25">
      <c r="A26" s="80" t="str">
        <v>Milk</v>
      </c>
      <c r="B26" s="83">
        <f t="shared" si="1"/>
        <v>11900</v>
      </c>
      <c r="C26" s="172" t="s">
        <v>20</v>
      </c>
      <c r="D26" s="173"/>
      <c r="E26" s="173" t="s">
        <v>22</v>
      </c>
      <c r="F26" s="173"/>
      <c r="G26" s="173" t="s">
        <v>26</v>
      </c>
      <c r="H26" s="173"/>
      <c r="I26" s="173" t="s">
        <v>28</v>
      </c>
      <c r="J26" s="174"/>
      <c r="S26" s="126" t="s">
        <v>0</v>
      </c>
      <c r="T26" s="130">
        <f>INDEX(Raw_Data,MATCH(Summary!T25,'Raw Data'!$D$1:$D$81,0),MATCH("Date",'Raw Data'!$A$1:$F$1,0))</f>
        <v>45678</v>
      </c>
    </row>
    <row r="27" spans="1:20" ht="15.75" x14ac:dyDescent="0.25">
      <c r="A27" s="80" t="str">
        <v>Utilities</v>
      </c>
      <c r="B27" s="83">
        <f t="shared" si="1"/>
        <v>65300</v>
      </c>
      <c r="C27" s="172"/>
      <c r="D27" s="173"/>
      <c r="E27" s="173"/>
      <c r="F27" s="173"/>
      <c r="G27" s="173"/>
      <c r="H27" s="173"/>
      <c r="I27" s="173"/>
      <c r="J27" s="174"/>
      <c r="S27" s="127" t="s">
        <v>3</v>
      </c>
      <c r="T27" s="131">
        <f>VLOOKUP(T26,Raw_Data,MATCH(Summary!S27,'Raw Data'!$A$1:$F$1,0))</f>
        <v>110000</v>
      </c>
    </row>
    <row r="28" spans="1:20" ht="15.75" x14ac:dyDescent="0.25">
      <c r="A28" s="80" t="str">
        <v>Transportation</v>
      </c>
      <c r="B28" s="83">
        <f t="shared" si="1"/>
        <v>60200</v>
      </c>
      <c r="C28" s="175" cm="1">
        <f t="array" ref="C28">_xlfn.XLOOKUP(C26,_xlfn.ANCHORARRAY($A$23),$B$23:$B$39,0,0,1)</f>
        <v>65300</v>
      </c>
      <c r="D28" s="176"/>
      <c r="E28" s="176" cm="1">
        <f t="array" ref="E28">_xlfn.XLOOKUP(E26,_xlfn.ANCHORARRAY($A$23),$B$23:$B$39,0,0,1)</f>
        <v>60200</v>
      </c>
      <c r="F28" s="176"/>
      <c r="G28" s="176" cm="1">
        <f t="array" ref="G28">_xlfn.XLOOKUP(G26,_xlfn.ANCHORARRAY($A$23),$B$23:$B$39,0,0,1)</f>
        <v>27300</v>
      </c>
      <c r="H28" s="176"/>
      <c r="I28" s="176" cm="1">
        <f t="array" ref="I28">_xlfn.XLOOKUP(I26,_xlfn.ANCHORARRAY($A$23),$B$23:$B$39,0,0,1)</f>
        <v>28700</v>
      </c>
      <c r="J28" s="177"/>
    </row>
    <row r="29" spans="1:20" ht="15.75" x14ac:dyDescent="0.25">
      <c r="A29" s="80" t="str">
        <v>Health</v>
      </c>
      <c r="B29" s="83">
        <f t="shared" si="1"/>
        <v>27300</v>
      </c>
      <c r="C29" s="90"/>
      <c r="D29" s="88"/>
      <c r="E29" s="88"/>
      <c r="F29" s="88"/>
      <c r="G29" s="88"/>
      <c r="H29" s="88"/>
      <c r="I29" s="88"/>
      <c r="J29" s="89"/>
    </row>
    <row r="30" spans="1:20" ht="15.75" x14ac:dyDescent="0.25">
      <c r="A30" s="80" t="str">
        <v>Chicken &amp; Meat</v>
      </c>
      <c r="B30" s="83">
        <f t="shared" si="1"/>
        <v>28700</v>
      </c>
      <c r="C30" s="90"/>
      <c r="D30" s="88"/>
      <c r="E30" s="88"/>
      <c r="F30" s="88"/>
      <c r="G30" s="88"/>
      <c r="H30" s="88"/>
      <c r="I30" s="88"/>
      <c r="J30" s="89"/>
    </row>
    <row r="31" spans="1:20" ht="15.75" x14ac:dyDescent="0.25">
      <c r="A31" s="80" t="str">
        <v>Education</v>
      </c>
      <c r="B31" s="83">
        <f t="shared" si="1"/>
        <v>106000</v>
      </c>
      <c r="C31" s="90"/>
      <c r="D31" s="88"/>
      <c r="E31" s="88"/>
      <c r="F31" s="88"/>
      <c r="G31" s="88"/>
      <c r="H31" s="88"/>
      <c r="I31" s="88"/>
      <c r="J31" s="89"/>
    </row>
    <row r="32" spans="1:20" ht="15.75" x14ac:dyDescent="0.25">
      <c r="A32" s="80" t="str">
        <v>Clothes &amp; Shoes Shopping</v>
      </c>
      <c r="B32" s="83">
        <f t="shared" si="1"/>
        <v>115000</v>
      </c>
      <c r="C32" s="172" t="s">
        <v>30</v>
      </c>
      <c r="D32" s="173"/>
      <c r="E32" s="173" t="s">
        <v>33</v>
      </c>
      <c r="F32" s="173"/>
      <c r="G32" s="173" t="s">
        <v>35</v>
      </c>
      <c r="H32" s="173"/>
      <c r="I32" s="173" t="s">
        <v>38</v>
      </c>
      <c r="J32" s="174"/>
    </row>
    <row r="33" spans="1:10" ht="15.75" x14ac:dyDescent="0.25">
      <c r="A33" s="80" t="str">
        <v>Entertainment</v>
      </c>
      <c r="B33" s="83">
        <f t="shared" si="1"/>
        <v>75000</v>
      </c>
      <c r="C33" s="172"/>
      <c r="D33" s="173"/>
      <c r="E33" s="173"/>
      <c r="F33" s="173"/>
      <c r="G33" s="173"/>
      <c r="H33" s="173"/>
      <c r="I33" s="173"/>
      <c r="J33" s="174"/>
    </row>
    <row r="34" spans="1:10" ht="15.75" x14ac:dyDescent="0.25">
      <c r="A34" s="80" t="str">
        <v>Taxes</v>
      </c>
      <c r="B34" s="83">
        <f t="shared" si="1"/>
        <v>150000</v>
      </c>
      <c r="C34" s="175" cm="1">
        <f t="array" ref="C34">_xlfn.XLOOKUP(C32,_xlfn.ANCHORARRAY($A$23),$B$23:$B$39,0,0,1)</f>
        <v>106000</v>
      </c>
      <c r="D34" s="176"/>
      <c r="E34" s="176" cm="1">
        <f t="array" ref="E34">_xlfn.XLOOKUP(E32,_xlfn.ANCHORARRAY($A$23),$B$23:$B$39,0,0,1)</f>
        <v>115000</v>
      </c>
      <c r="F34" s="176"/>
      <c r="G34" s="176" cm="1">
        <f t="array" ref="G34">_xlfn.XLOOKUP(G32,_xlfn.ANCHORARRAY($A$23),$B$23:$B$39,0,0,1)</f>
        <v>75000</v>
      </c>
      <c r="H34" s="176"/>
      <c r="I34" s="176" cm="1">
        <f t="array" ref="I34">_xlfn.XLOOKUP(I32,_xlfn.ANCHORARRAY($A$23),$B$23:$B$39,0,0,1)</f>
        <v>150000</v>
      </c>
      <c r="J34" s="177"/>
    </row>
    <row r="35" spans="1:10" ht="15.75" x14ac:dyDescent="0.25">
      <c r="A35" s="80" t="str">
        <v>Personal Care</v>
      </c>
      <c r="B35" s="83">
        <f t="shared" si="1"/>
        <v>43500</v>
      </c>
      <c r="C35" s="90"/>
      <c r="D35" s="88"/>
      <c r="E35" s="88"/>
      <c r="F35" s="88"/>
      <c r="G35" s="88"/>
      <c r="H35" s="88"/>
      <c r="I35" s="88"/>
      <c r="J35" s="89"/>
    </row>
    <row r="36" spans="1:10" ht="15.75" x14ac:dyDescent="0.25">
      <c r="A36" s="80" t="str">
        <v>Insurance</v>
      </c>
      <c r="B36" s="83">
        <f t="shared" si="1"/>
        <v>54000</v>
      </c>
      <c r="C36" s="90"/>
      <c r="D36" s="88"/>
      <c r="E36" s="88"/>
      <c r="F36" s="88"/>
      <c r="G36" s="88"/>
      <c r="H36" s="88"/>
      <c r="I36" s="88"/>
      <c r="J36" s="89"/>
    </row>
    <row r="37" spans="1:10" ht="15.75" x14ac:dyDescent="0.25">
      <c r="A37" s="80" t="str">
        <v>Ramazan Preparation</v>
      </c>
      <c r="B37" s="83">
        <f t="shared" si="1"/>
        <v>67000</v>
      </c>
      <c r="C37" s="90"/>
      <c r="D37" s="88"/>
      <c r="E37" s="88"/>
      <c r="F37" s="88"/>
      <c r="G37" s="88"/>
      <c r="H37" s="88"/>
      <c r="I37" s="88"/>
      <c r="J37" s="89"/>
    </row>
    <row r="38" spans="1:10" ht="15.75" x14ac:dyDescent="0.25">
      <c r="A38" s="80" t="str">
        <v>Miscellaneous Expenses</v>
      </c>
      <c r="B38" s="83">
        <f t="shared" si="1"/>
        <v>29500</v>
      </c>
      <c r="C38" s="172" t="s">
        <v>42</v>
      </c>
      <c r="D38" s="173"/>
      <c r="E38" s="173" t="s">
        <v>44</v>
      </c>
      <c r="F38" s="173"/>
      <c r="G38" s="173" t="s">
        <v>46</v>
      </c>
      <c r="H38" s="173"/>
      <c r="I38" s="173" t="s">
        <v>52</v>
      </c>
      <c r="J38" s="174"/>
    </row>
    <row r="39" spans="1:10" ht="15.75" x14ac:dyDescent="0.25">
      <c r="A39" s="80" t="str">
        <v>Gifts and Charity</v>
      </c>
      <c r="B39" s="83">
        <f t="shared" si="1"/>
        <v>35000</v>
      </c>
      <c r="C39" s="172"/>
      <c r="D39" s="173"/>
      <c r="E39" s="173"/>
      <c r="F39" s="173"/>
      <c r="G39" s="173"/>
      <c r="H39" s="173"/>
      <c r="I39" s="173"/>
      <c r="J39" s="174"/>
    </row>
    <row r="40" spans="1:10" ht="33.75" customHeight="1" x14ac:dyDescent="0.25">
      <c r="A40" s="136" t="s">
        <v>117</v>
      </c>
      <c r="B40" s="137">
        <f>COUNTA(Expense)</f>
        <v>17</v>
      </c>
      <c r="C40" s="176" cm="1">
        <f t="array" ref="C40">_xlfn.XLOOKUP(C38,_xlfn.ANCHORARRAY($A$23),$B$23:$B$39,0,0,1)</f>
        <v>43500</v>
      </c>
      <c r="D40" s="176"/>
      <c r="E40" s="176" cm="1">
        <f t="array" ref="E40">_xlfn.XLOOKUP(E38,_xlfn.ANCHORARRAY($A$23),$B$23:$B$39,0,0,1)</f>
        <v>54000</v>
      </c>
      <c r="F40" s="176"/>
      <c r="G40" s="176" cm="1">
        <f t="array" ref="G40">_xlfn.XLOOKUP(G38,_xlfn.ANCHORARRAY($A$23),$B$23:$B$39,0,0,1)</f>
        <v>67000</v>
      </c>
      <c r="H40" s="176"/>
      <c r="I40" s="176" cm="1">
        <f t="array" ref="I40">_xlfn.XLOOKUP(I38,_xlfn.ANCHORARRAY($A$23),$B$23:$B$39,0,0,1)</f>
        <v>29500</v>
      </c>
      <c r="J40" s="177"/>
    </row>
    <row r="41" spans="1:10" ht="15.75" x14ac:dyDescent="0.25">
      <c r="A41" s="138" t="s">
        <v>89</v>
      </c>
      <c r="B41" s="139">
        <f>SUM(B23:B40)</f>
        <v>1086517</v>
      </c>
      <c r="C41" s="88"/>
      <c r="D41" s="88"/>
      <c r="E41" s="88"/>
      <c r="F41" s="88"/>
      <c r="G41" s="88"/>
      <c r="H41" s="88"/>
      <c r="I41" s="88"/>
      <c r="J41" s="89"/>
    </row>
    <row r="42" spans="1:10" ht="15.75" x14ac:dyDescent="0.25">
      <c r="A42" s="134" t="s">
        <v>118</v>
      </c>
      <c r="B42" s="135">
        <f>AVERAGE(B23:B40)</f>
        <v>60362.055555555555</v>
      </c>
      <c r="C42" s="88"/>
      <c r="D42" s="88"/>
      <c r="E42" s="88"/>
      <c r="F42" s="88"/>
      <c r="G42" s="88"/>
      <c r="H42" s="88"/>
      <c r="I42" s="88"/>
      <c r="J42" s="89"/>
    </row>
    <row r="43" spans="1:10" x14ac:dyDescent="0.25">
      <c r="C43" s="90"/>
      <c r="D43" s="88"/>
      <c r="E43" s="88"/>
      <c r="F43" s="88"/>
      <c r="G43" s="88"/>
      <c r="H43" s="88"/>
      <c r="I43" s="88"/>
      <c r="J43" s="89"/>
    </row>
    <row r="44" spans="1:10" x14ac:dyDescent="0.25">
      <c r="C44" s="172" t="s">
        <v>69</v>
      </c>
      <c r="D44" s="173"/>
      <c r="E44" s="88"/>
      <c r="F44" s="88"/>
      <c r="G44" s="88"/>
      <c r="H44" s="88"/>
      <c r="I44" s="88"/>
      <c r="J44" s="89"/>
    </row>
    <row r="45" spans="1:10" x14ac:dyDescent="0.25">
      <c r="C45" s="172"/>
      <c r="D45" s="173"/>
      <c r="E45" s="88"/>
      <c r="F45" s="88"/>
      <c r="G45" s="88"/>
      <c r="H45" s="88"/>
      <c r="I45" s="88"/>
      <c r="J45" s="89"/>
    </row>
    <row r="46" spans="1:10" ht="15.75" x14ac:dyDescent="0.25">
      <c r="C46" s="178" cm="1">
        <f t="array" ref="C46">_xlfn.XLOOKUP(C44,_xlfn.ANCHORARRAY($A$23),$B$23:$B$39,0,0,1)</f>
        <v>35000</v>
      </c>
      <c r="D46" s="179"/>
      <c r="E46" s="91"/>
      <c r="F46" s="91"/>
      <c r="G46" s="91"/>
      <c r="H46" s="91"/>
      <c r="I46" s="91"/>
      <c r="J46" s="92"/>
    </row>
    <row r="47" spans="1:10" ht="36" customHeight="1" x14ac:dyDescent="0.25">
      <c r="C47" s="171"/>
      <c r="D47" s="171"/>
    </row>
  </sheetData>
  <mergeCells count="53">
    <mergeCell ref="E38:F39"/>
    <mergeCell ref="G38:H39"/>
    <mergeCell ref="I38:J39"/>
    <mergeCell ref="L5:O5"/>
    <mergeCell ref="L8:O8"/>
    <mergeCell ref="L9:O9"/>
    <mergeCell ref="L10:O10"/>
    <mergeCell ref="L11:O11"/>
    <mergeCell ref="C44:D45"/>
    <mergeCell ref="C46:D46"/>
    <mergeCell ref="E26:F27"/>
    <mergeCell ref="G26:H27"/>
    <mergeCell ref="I26:J27"/>
    <mergeCell ref="C32:D33"/>
    <mergeCell ref="E32:F33"/>
    <mergeCell ref="G32:H33"/>
    <mergeCell ref="I32:J33"/>
    <mergeCell ref="C40:D40"/>
    <mergeCell ref="E40:F40"/>
    <mergeCell ref="G40:H40"/>
    <mergeCell ref="I40:J40"/>
    <mergeCell ref="G34:H34"/>
    <mergeCell ref="I34:J34"/>
    <mergeCell ref="C38:D39"/>
    <mergeCell ref="C47:D47"/>
    <mergeCell ref="C20:D21"/>
    <mergeCell ref="E20:F21"/>
    <mergeCell ref="G20:H21"/>
    <mergeCell ref="I20:J21"/>
    <mergeCell ref="C26:D27"/>
    <mergeCell ref="C22:D22"/>
    <mergeCell ref="E22:F22"/>
    <mergeCell ref="G22:H22"/>
    <mergeCell ref="I22:J22"/>
    <mergeCell ref="C28:D28"/>
    <mergeCell ref="E28:F28"/>
    <mergeCell ref="G28:H28"/>
    <mergeCell ref="I28:J28"/>
    <mergeCell ref="C34:D34"/>
    <mergeCell ref="E34:F34"/>
    <mergeCell ref="P11:Q11"/>
    <mergeCell ref="P12:Q12"/>
    <mergeCell ref="P13:Q13"/>
    <mergeCell ref="P14:Q14"/>
    <mergeCell ref="A1:XFD1"/>
    <mergeCell ref="C14:J15"/>
    <mergeCell ref="P9:Q10"/>
    <mergeCell ref="L14:O14"/>
    <mergeCell ref="L6:O7"/>
    <mergeCell ref="L12:O13"/>
    <mergeCell ref="P5:Q5"/>
    <mergeCell ref="P6:Q6"/>
    <mergeCell ref="P8:Q8"/>
  </mergeCells>
  <conditionalFormatting sqref="B15:B1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{BDAE184A-BFBD-4BA2-BA5D-1D579EBB0C38}</x14:id>
        </ext>
      </extLst>
    </cfRule>
  </conditionalFormatting>
  <conditionalFormatting sqref="B23:B3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{C7EDE98A-5418-4199-AD17-E90CE759F757}</x14:id>
        </ext>
      </extLst>
    </cfRule>
  </conditionalFormatting>
  <conditionalFormatting sqref="P11">
    <cfRule type="expression" dxfId="10" priority="1">
      <formula>$P$11="Medium Savings"</formula>
    </cfRule>
    <cfRule type="expression" dxfId="9" priority="2">
      <formula>$P$11="High Savings"</formula>
    </cfRule>
    <cfRule type="expression" dxfId="8" priority="3">
      <formula>$P$11="No Savings"</formula>
    </cfRule>
    <cfRule type="expression" dxfId="7" priority="5">
      <formula>$P$11="Low Savings"</formula>
    </cfRule>
    <cfRule type="containsText" dxfId="6" priority="6" operator="containsText" text="Low Savings">
      <formula>NOT(ISERROR(SEARCH("Low Savings",P11)))</formula>
    </cfRule>
  </conditionalFormatting>
  <dataValidations count="1">
    <dataValidation type="list" allowBlank="1" showInputMessage="1" showErrorMessage="1" sqref="T25" xr:uid="{86A3D41B-A118-4489-82F8-E373A683C0FE}">
      <formula1>INDIRECT($T$24)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AE184A-BFBD-4BA2-BA5D-1D579EBB0C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B15:B19</xm:sqref>
        </x14:conditionalFormatting>
        <x14:conditionalFormatting xmlns:xm="http://schemas.microsoft.com/office/excel/2006/main">
          <x14:cfRule type="dataBar" id="{C7EDE98A-5418-4199-AD17-E90CE759F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B23:B39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3F882D-98C6-4A72-A57D-222BBDB34B9E}">
          <x14:formula1>
            <xm:f>'Raw Data'!$C$2:$C$81</xm:f>
          </x14:formula1>
          <xm:sqref>T24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80C336A-D70A-4CDB-9D23-D08041BFB5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Summary!B9:D9</xm:f>
              <xm:sqref>F9</xm:sqref>
            </x14:sparkline>
            <x14:sparkline>
              <xm:f>Summary!B10:D10</xm:f>
              <xm:sqref>F10</xm:sqref>
            </x14:sparkline>
            <x14:sparkline>
              <xm:f>Summary!B11:D11</xm:f>
              <xm:sqref>F11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58A2B-6DAD-4424-8879-91035E377E67}">
  <sheetPr codeName="Sheet3"/>
  <dimension ref="A1:W71"/>
  <sheetViews>
    <sheetView showGridLines="0" zoomScale="50" zoomScaleNormal="50" workbookViewId="0">
      <selection activeCell="K7" sqref="K7"/>
    </sheetView>
  </sheetViews>
  <sheetFormatPr defaultRowHeight="15" x14ac:dyDescent="0.25"/>
  <cols>
    <col min="1" max="1" width="6.28515625" customWidth="1"/>
    <col min="2" max="2" width="13.5703125" customWidth="1"/>
    <col min="3" max="3" width="9.85546875" bestFit="1" customWidth="1"/>
    <col min="4" max="4" width="15" customWidth="1"/>
    <col min="5" max="5" width="30" bestFit="1" customWidth="1"/>
    <col min="6" max="6" width="15.42578125" bestFit="1" customWidth="1"/>
    <col min="7" max="7" width="31.28515625" bestFit="1" customWidth="1"/>
    <col min="8" max="8" width="10.5703125" customWidth="1"/>
    <col min="9" max="12" width="8.85546875" customWidth="1"/>
    <col min="13" max="13" width="7.42578125" customWidth="1"/>
    <col min="14" max="14" width="7.140625" customWidth="1"/>
    <col min="15" max="15" width="9.85546875" customWidth="1"/>
    <col min="16" max="16" width="30.42578125" bestFit="1" customWidth="1"/>
    <col min="17" max="17" width="15" customWidth="1"/>
    <col min="18" max="18" width="16" customWidth="1"/>
    <col min="19" max="19" width="14.85546875" customWidth="1"/>
    <col min="20" max="20" width="23.140625" bestFit="1" customWidth="1"/>
    <col min="21" max="21" width="7.140625" bestFit="1" customWidth="1"/>
    <col min="22" max="22" width="12.28515625" bestFit="1" customWidth="1"/>
    <col min="23" max="23" width="5.7109375" hidden="1" customWidth="1"/>
  </cols>
  <sheetData>
    <row r="1" spans="1:23" s="149" customFormat="1" ht="55.5" customHeight="1" x14ac:dyDescent="0.25">
      <c r="A1" s="149" t="s">
        <v>111</v>
      </c>
    </row>
    <row r="2" spans="1:23" s="21" customFormat="1" ht="32.25" customHeight="1" x14ac:dyDescent="0.25"/>
    <row r="3" spans="1:23" s="20" customFormat="1" ht="39.75" x14ac:dyDescent="0.6">
      <c r="C3" s="206" t="str">
        <f>CONCATENATE(H3," ","'25")</f>
        <v>January '25</v>
      </c>
      <c r="D3" s="207"/>
      <c r="E3" s="207"/>
      <c r="H3" s="210" t="str">
        <f>TEXT(B14,"mmmm")</f>
        <v>January</v>
      </c>
      <c r="I3" s="210"/>
      <c r="J3" s="211">
        <f>YEAR(B14)</f>
        <v>2025</v>
      </c>
      <c r="K3" s="211"/>
      <c r="L3"/>
      <c r="M3"/>
      <c r="N3"/>
    </row>
    <row r="4" spans="1:23" ht="15.75" x14ac:dyDescent="0.25">
      <c r="H4" s="26" t="s">
        <v>99</v>
      </c>
      <c r="I4" s="27" t="s">
        <v>100</v>
      </c>
      <c r="J4" s="27" t="s">
        <v>101</v>
      </c>
      <c r="K4" s="27" t="s">
        <v>102</v>
      </c>
      <c r="L4" s="27" t="s">
        <v>103</v>
      </c>
      <c r="M4" s="27" t="s">
        <v>104</v>
      </c>
      <c r="N4" s="28" t="s">
        <v>105</v>
      </c>
      <c r="P4" s="26" t="s">
        <v>0</v>
      </c>
      <c r="Q4" s="200" t="s">
        <v>112</v>
      </c>
      <c r="R4" s="201"/>
    </row>
    <row r="5" spans="1:23" ht="15.75" x14ac:dyDescent="0.25">
      <c r="H5" s="7" cm="1">
        <f t="array" ref="H5:N10">_xlfn.SEQUENCE(6,7,DATEVALUE(H3&amp;J3)-WEEKDAY(H3&amp;J3)+1)</f>
        <v>45655</v>
      </c>
      <c r="I5" s="8">
        <v>45656</v>
      </c>
      <c r="J5" s="8">
        <v>45657</v>
      </c>
      <c r="K5" s="8">
        <v>45658</v>
      </c>
      <c r="L5" s="8">
        <v>45659</v>
      </c>
      <c r="M5" s="8">
        <v>45660</v>
      </c>
      <c r="N5" s="9">
        <v>45661</v>
      </c>
      <c r="P5" s="99"/>
      <c r="Q5" s="101"/>
      <c r="R5" s="102"/>
    </row>
    <row r="6" spans="1:23" ht="15.75" x14ac:dyDescent="0.25">
      <c r="H6" s="7">
        <v>45662</v>
      </c>
      <c r="I6" s="8">
        <v>45663</v>
      </c>
      <c r="J6" s="8">
        <v>45664</v>
      </c>
      <c r="K6" s="8">
        <v>45665</v>
      </c>
      <c r="L6" s="8">
        <v>45666</v>
      </c>
      <c r="M6" s="8">
        <v>45667</v>
      </c>
      <c r="N6" s="9">
        <v>45668</v>
      </c>
      <c r="P6" s="99"/>
      <c r="Q6" s="202" t="str" cm="1">
        <f t="array" ref="Q6">IFERROR(IF(_xlfn.TEXTJOIN(", ",TRUE,_xlfn._xlws.FILTER($D$14:$D$40,$B$14:$B$40=$P$7))="Income","Income from","Expenses on"),"")</f>
        <v>Expenses on</v>
      </c>
      <c r="R6" s="203"/>
    </row>
    <row r="7" spans="1:23" ht="26.25" customHeight="1" x14ac:dyDescent="0.4">
      <c r="B7" s="192" t="s">
        <v>81</v>
      </c>
      <c r="C7" s="193"/>
      <c r="D7" s="12"/>
      <c r="E7" s="13"/>
      <c r="H7" s="7">
        <v>45669</v>
      </c>
      <c r="I7" s="8">
        <v>45670</v>
      </c>
      <c r="J7" s="8">
        <v>45671</v>
      </c>
      <c r="K7" s="8">
        <v>45672</v>
      </c>
      <c r="L7" s="8">
        <v>45673</v>
      </c>
      <c r="M7" s="8">
        <v>45674</v>
      </c>
      <c r="N7" s="9">
        <v>45675</v>
      </c>
      <c r="P7" s="107">
        <v>45672</v>
      </c>
      <c r="Q7" s="208" t="str" cm="1">
        <f t="array" ref="Q7">IFERROR(_xlfn.TEXTJOIN(", ",TRUE,_xlfn._xlws.FILTER(TRIM($G$14:$G$40),$B$14:$B$40=$P$7)),"No Activity")</f>
        <v>Gas Bill, Clothes and shoes</v>
      </c>
      <c r="R7" s="209"/>
    </row>
    <row r="8" spans="1:23" ht="15.75" x14ac:dyDescent="0.25">
      <c r="B8" s="198" t="s">
        <v>78</v>
      </c>
      <c r="C8" s="199"/>
      <c r="D8" s="196">
        <f>SUMIF($D$14:$D$40,"Income",$F$14:$F$40)</f>
        <v>585000</v>
      </c>
      <c r="E8" s="197"/>
      <c r="H8" s="7">
        <v>45676</v>
      </c>
      <c r="I8" s="8">
        <v>45677</v>
      </c>
      <c r="J8" s="8">
        <v>45678</v>
      </c>
      <c r="K8" s="8">
        <v>45679</v>
      </c>
      <c r="L8" s="8">
        <v>45680</v>
      </c>
      <c r="M8" s="8">
        <v>45681</v>
      </c>
      <c r="N8" s="9">
        <v>45682</v>
      </c>
      <c r="P8" s="105"/>
      <c r="Q8" s="208"/>
      <c r="R8" s="209"/>
    </row>
    <row r="9" spans="1:23" ht="15.75" x14ac:dyDescent="0.25">
      <c r="B9" s="198" t="s">
        <v>79</v>
      </c>
      <c r="C9" s="199"/>
      <c r="D9" s="196">
        <f>SUMIF($D$14:$D$40,"Expense",$F$14:$F$40)</f>
        <v>337900</v>
      </c>
      <c r="E9" s="197"/>
      <c r="H9" s="7">
        <v>45683</v>
      </c>
      <c r="I9" s="8">
        <v>45684</v>
      </c>
      <c r="J9" s="8">
        <v>45685</v>
      </c>
      <c r="K9" s="8">
        <v>45686</v>
      </c>
      <c r="L9" s="8">
        <v>45687</v>
      </c>
      <c r="M9" s="8">
        <v>45688</v>
      </c>
      <c r="N9" s="9">
        <v>45689</v>
      </c>
      <c r="P9" s="99"/>
      <c r="Q9" s="204">
        <f>IF(SUMIF($B$14:$B$40,$P$7,F14:F40)=0,"",SUMIF($B$14:$B$40,$P$7,F14:F40))</f>
        <v>49300</v>
      </c>
      <c r="R9" s="205"/>
    </row>
    <row r="10" spans="1:23" ht="15.75" x14ac:dyDescent="0.25">
      <c r="B10" s="49" t="s">
        <v>80</v>
      </c>
      <c r="C10" s="50"/>
      <c r="D10" s="194">
        <f>D8-D9</f>
        <v>247100</v>
      </c>
      <c r="E10" s="195"/>
      <c r="H10" s="32">
        <v>45690</v>
      </c>
      <c r="I10" s="33">
        <v>45691</v>
      </c>
      <c r="J10" s="33">
        <v>45692</v>
      </c>
      <c r="K10" s="33">
        <v>45693</v>
      </c>
      <c r="L10" s="33">
        <v>45694</v>
      </c>
      <c r="M10" s="33">
        <v>45695</v>
      </c>
      <c r="N10" s="34">
        <v>45696</v>
      </c>
      <c r="P10" s="100"/>
      <c r="Q10" s="103"/>
      <c r="R10" s="104"/>
    </row>
    <row r="11" spans="1:23" ht="15.75" x14ac:dyDescent="0.25">
      <c r="H11" s="25"/>
      <c r="I11" s="25"/>
      <c r="J11" s="25"/>
      <c r="K11" s="25"/>
      <c r="L11" s="25"/>
      <c r="M11" s="25"/>
      <c r="N11" s="25"/>
    </row>
    <row r="13" spans="1:23" ht="22.5" x14ac:dyDescent="0.3">
      <c r="B13" s="55" t="s">
        <v>0</v>
      </c>
      <c r="C13" s="55" t="s">
        <v>77</v>
      </c>
      <c r="D13" s="55" t="s">
        <v>1</v>
      </c>
      <c r="E13" s="55" t="s">
        <v>2</v>
      </c>
      <c r="F13" s="55" t="s">
        <v>3</v>
      </c>
      <c r="G13" s="55" t="s">
        <v>4</v>
      </c>
      <c r="I13" s="212" t="s">
        <v>82</v>
      </c>
      <c r="J13" s="213"/>
      <c r="K13" s="213"/>
      <c r="L13" s="213"/>
      <c r="M13" s="213"/>
      <c r="N13" s="214"/>
      <c r="P13" s="14" t="s">
        <v>106</v>
      </c>
      <c r="Q13" s="15"/>
      <c r="R13" s="15"/>
      <c r="S13" s="22"/>
      <c r="W13" s="18" t="s">
        <v>94</v>
      </c>
    </row>
    <row r="14" spans="1:23" ht="15" customHeight="1" x14ac:dyDescent="0.25">
      <c r="B14" s="39" cm="1">
        <f t="array" ref="B14:G40">_xlfn._xlws.FILTER('Raw Data'!$A$1:$F$81,'Raw Data'!$B$1:$B$81="January")</f>
        <v>45658</v>
      </c>
      <c r="C14" s="40" t="str">
        <v>January</v>
      </c>
      <c r="D14" s="40" t="str">
        <v>Income</v>
      </c>
      <c r="E14" s="41" t="str">
        <v>Salary</v>
      </c>
      <c r="F14" s="59">
        <v>250000</v>
      </c>
      <c r="G14" s="40" t="str">
        <v>Salary from office</v>
      </c>
      <c r="I14" s="23" t="s">
        <v>87</v>
      </c>
      <c r="J14" s="227" t="s">
        <v>88</v>
      </c>
      <c r="K14" s="227"/>
      <c r="L14" s="227"/>
      <c r="M14" s="227"/>
      <c r="N14" s="228"/>
      <c r="P14" s="221" t="s">
        <v>108</v>
      </c>
      <c r="Q14" s="215" t="s">
        <v>89</v>
      </c>
      <c r="R14" s="215" t="s">
        <v>107</v>
      </c>
      <c r="S14" s="217" t="s">
        <v>90</v>
      </c>
      <c r="W14" s="24"/>
    </row>
    <row r="15" spans="1:23" ht="21" customHeight="1" x14ac:dyDescent="0.25">
      <c r="B15" s="42">
        <v>45659</v>
      </c>
      <c r="C15" s="43" t="str">
        <v>January</v>
      </c>
      <c r="D15" s="43" t="str">
        <v>Expense</v>
      </c>
      <c r="E15" s="44" t="str">
        <v>Groceries</v>
      </c>
      <c r="F15" s="60">
        <v>22000</v>
      </c>
      <c r="G15" s="43" t="str">
        <v>Spices, food items, oil, grains</v>
      </c>
      <c r="I15" s="47" t="str" cm="1">
        <f t="array" ref="I15:I19">_xlfn.UNIQUE(_xlfn._xlws.FILTER(Category,Type="Income"))</f>
        <v>Salary</v>
      </c>
      <c r="J15" s="223">
        <f>SUMIF($E$13:$E$41,I15,$F$13:$F$41)</f>
        <v>250000</v>
      </c>
      <c r="K15" s="223"/>
      <c r="L15" s="223"/>
      <c r="M15" s="223"/>
      <c r="N15" s="224"/>
      <c r="P15" s="222"/>
      <c r="Q15" s="216"/>
      <c r="R15" s="216"/>
      <c r="S15" s="218"/>
      <c r="W15" s="10">
        <f>COUNTIFS($Q$16:$Q$31,"&gt;10000")</f>
        <v>11</v>
      </c>
    </row>
    <row r="16" spans="1:23" x14ac:dyDescent="0.25">
      <c r="B16" s="39">
        <v>45660</v>
      </c>
      <c r="C16" s="40" t="str">
        <v>January</v>
      </c>
      <c r="D16" s="40" t="str">
        <v>Expense</v>
      </c>
      <c r="E16" s="40" t="str">
        <v>Fruits &amp; Vegetables</v>
      </c>
      <c r="F16" s="59">
        <v>6200</v>
      </c>
      <c r="G16" s="40" t="str">
        <v>Fruits and Vegetables</v>
      </c>
      <c r="I16" s="47" t="str">
        <v>Freelancing</v>
      </c>
      <c r="J16" s="223">
        <f>SUMIF($E$13:$E$41,I16,$F$13:$F$41)</f>
        <v>125000</v>
      </c>
      <c r="K16" s="223"/>
      <c r="L16" s="223"/>
      <c r="M16" s="223"/>
      <c r="N16" s="224"/>
      <c r="P16" s="51" t="str" cm="1">
        <f t="array" ref="P16:P31">_xlfn.UNIQUE(_xlfn._xlws.FILTER($E$14:$E$40,$D$14:$D$40="Expense"))</f>
        <v>Groceries</v>
      </c>
      <c r="Q16" s="62">
        <f t="shared" ref="Q16:Q31" si="0">SUMIF($E$13:$E$41,$P16,$F$13:$F$41)</f>
        <v>36500</v>
      </c>
      <c r="R16" s="62">
        <f t="shared" ref="R16:R31" si="1">AVERAGEIF($E$13:$E$41,$P16,$F$13:$F$41)</f>
        <v>18250</v>
      </c>
      <c r="S16" s="52">
        <f t="shared" ref="S16:S31" si="2">COUNTIF($E$13:$E$41,$P16)</f>
        <v>2</v>
      </c>
      <c r="W16" s="10">
        <f>COUNTIFS($Q$16:$Q$31,"&lt;=10000",$Q$16:$Q$31,"&gt;=6000")</f>
        <v>4</v>
      </c>
    </row>
    <row r="17" spans="2:23" x14ac:dyDescent="0.25">
      <c r="B17" s="39">
        <v>45661</v>
      </c>
      <c r="C17" s="40" t="str">
        <v>January</v>
      </c>
      <c r="D17" s="40" t="str">
        <v>Expense</v>
      </c>
      <c r="E17" s="40" t="str">
        <v>House Help Workers</v>
      </c>
      <c r="F17" s="59">
        <v>18000</v>
      </c>
      <c r="G17" s="40" t="str">
        <v>House Maid</v>
      </c>
      <c r="I17" s="47" t="str">
        <v>Apartment Rent</v>
      </c>
      <c r="J17" s="223">
        <f>SUMIF($E$13:$E$41,I17,$F$13:$F$41)</f>
        <v>75000</v>
      </c>
      <c r="K17" s="223"/>
      <c r="L17" s="223"/>
      <c r="M17" s="223"/>
      <c r="N17" s="224"/>
      <c r="P17" s="51" t="str">
        <v>Fruits &amp; Vegetables</v>
      </c>
      <c r="Q17" s="62">
        <f t="shared" si="0"/>
        <v>6200</v>
      </c>
      <c r="R17" s="62">
        <f t="shared" si="1"/>
        <v>6200</v>
      </c>
      <c r="S17" s="52">
        <f t="shared" si="2"/>
        <v>1</v>
      </c>
      <c r="W17" s="6">
        <f>COUNTIFS($Q$16:$Q$31,"&lt;6000")</f>
        <v>1</v>
      </c>
    </row>
    <row r="18" spans="2:23" x14ac:dyDescent="0.25">
      <c r="B18" s="39">
        <v>45662</v>
      </c>
      <c r="C18" s="40" t="str">
        <v>January</v>
      </c>
      <c r="D18" s="40" t="str">
        <v>Expense</v>
      </c>
      <c r="E18" s="40" t="str">
        <v>House Help Workers</v>
      </c>
      <c r="F18" s="59">
        <v>4000</v>
      </c>
      <c r="G18" s="40" t="str">
        <v>Garbage Picker</v>
      </c>
      <c r="I18" s="47" t="str">
        <v>Business</v>
      </c>
      <c r="J18" s="223">
        <f>SUMIF($E$13:$E$41,I18,$F$13:$F$41)</f>
        <v>110000</v>
      </c>
      <c r="K18" s="223"/>
      <c r="L18" s="223"/>
      <c r="M18" s="223"/>
      <c r="N18" s="224"/>
      <c r="P18" s="51" t="str">
        <v>House Help Workers</v>
      </c>
      <c r="Q18" s="62">
        <f t="shared" si="0"/>
        <v>25500</v>
      </c>
      <c r="R18" s="62">
        <f t="shared" si="1"/>
        <v>8500</v>
      </c>
      <c r="S18" s="52">
        <f t="shared" si="2"/>
        <v>3</v>
      </c>
    </row>
    <row r="19" spans="2:23" x14ac:dyDescent="0.25">
      <c r="B19" s="39">
        <v>45663</v>
      </c>
      <c r="C19" s="40" t="str">
        <v>January</v>
      </c>
      <c r="D19" s="40" t="str">
        <v>Expense</v>
      </c>
      <c r="E19" s="40" t="str">
        <v>Milk</v>
      </c>
      <c r="F19" s="59">
        <v>3600</v>
      </c>
      <c r="G19" s="40" t="str">
        <v>2 kg milk</v>
      </c>
      <c r="I19" s="48" t="str">
        <v>Car Rent</v>
      </c>
      <c r="J19" s="225">
        <f>SUMIF($E$13:$E$41,I19,$F$13:$F$41)</f>
        <v>25000</v>
      </c>
      <c r="K19" s="225"/>
      <c r="L19" s="225"/>
      <c r="M19" s="225"/>
      <c r="N19" s="226"/>
      <c r="P19" s="51" t="str">
        <v>Milk</v>
      </c>
      <c r="Q19" s="62">
        <f t="shared" si="0"/>
        <v>3600</v>
      </c>
      <c r="R19" s="62">
        <f t="shared" si="1"/>
        <v>3600</v>
      </c>
      <c r="S19" s="52">
        <f t="shared" si="2"/>
        <v>1</v>
      </c>
    </row>
    <row r="20" spans="2:23" x14ac:dyDescent="0.25">
      <c r="B20" s="39">
        <v>45664</v>
      </c>
      <c r="C20" s="40" t="str">
        <v>January</v>
      </c>
      <c r="D20" s="40" t="str">
        <v>Income</v>
      </c>
      <c r="E20" s="40" t="str">
        <v>Freelancing</v>
      </c>
      <c r="F20" s="59">
        <v>55000</v>
      </c>
      <c r="G20" s="40" t="str">
        <v>Upwork Client</v>
      </c>
      <c r="P20" s="51" t="str">
        <v>Utilities</v>
      </c>
      <c r="Q20" s="62">
        <f t="shared" si="0"/>
        <v>27600</v>
      </c>
      <c r="R20" s="62">
        <f t="shared" si="1"/>
        <v>9200</v>
      </c>
      <c r="S20" s="52">
        <f t="shared" si="2"/>
        <v>3</v>
      </c>
    </row>
    <row r="21" spans="2:23" x14ac:dyDescent="0.25">
      <c r="B21" s="39">
        <v>45665</v>
      </c>
      <c r="C21" s="40" t="str">
        <v>January</v>
      </c>
      <c r="D21" s="40" t="str">
        <v>Expense</v>
      </c>
      <c r="E21" s="40" t="str">
        <v>Utilities</v>
      </c>
      <c r="F21" s="59">
        <v>12500</v>
      </c>
      <c r="G21" s="40" t="str">
        <v>Electricity Bill</v>
      </c>
      <c r="P21" s="51" t="str">
        <v>Transportation</v>
      </c>
      <c r="Q21" s="62">
        <f t="shared" si="0"/>
        <v>18500</v>
      </c>
      <c r="R21" s="62">
        <f t="shared" si="1"/>
        <v>18500</v>
      </c>
      <c r="S21" s="52">
        <f t="shared" si="2"/>
        <v>1</v>
      </c>
    </row>
    <row r="22" spans="2:23" x14ac:dyDescent="0.25">
      <c r="B22" s="39">
        <v>45666</v>
      </c>
      <c r="C22" s="40" t="str">
        <v>January</v>
      </c>
      <c r="D22" s="40" t="str">
        <v>Expense</v>
      </c>
      <c r="E22" s="40" t="str">
        <v>Transportation</v>
      </c>
      <c r="F22" s="59">
        <v>18500</v>
      </c>
      <c r="G22" s="40" t="str">
        <v>Car 1 Petrol</v>
      </c>
      <c r="P22" s="51" t="str">
        <v>Health</v>
      </c>
      <c r="Q22" s="62">
        <f t="shared" si="0"/>
        <v>9800</v>
      </c>
      <c r="R22" s="62">
        <f t="shared" si="1"/>
        <v>9800</v>
      </c>
      <c r="S22" s="52">
        <f t="shared" si="2"/>
        <v>1</v>
      </c>
    </row>
    <row r="23" spans="2:23" x14ac:dyDescent="0.25">
      <c r="B23" s="39">
        <v>45667</v>
      </c>
      <c r="C23" s="40" t="str">
        <v>January</v>
      </c>
      <c r="D23" s="40" t="str">
        <v>Income</v>
      </c>
      <c r="E23" s="40" t="str">
        <v>Apartment Rent</v>
      </c>
      <c r="F23" s="59">
        <v>75000</v>
      </c>
      <c r="G23" s="40" t="str">
        <v>Tenant - Apartment 3A</v>
      </c>
      <c r="P23" s="51" t="str">
        <v>Chicken &amp; Meat</v>
      </c>
      <c r="Q23" s="62">
        <f t="shared" si="0"/>
        <v>8200</v>
      </c>
      <c r="R23" s="62">
        <f t="shared" si="1"/>
        <v>8200</v>
      </c>
      <c r="S23" s="52">
        <f t="shared" si="2"/>
        <v>1</v>
      </c>
    </row>
    <row r="24" spans="2:23" x14ac:dyDescent="0.25">
      <c r="B24" s="39">
        <v>45668</v>
      </c>
      <c r="C24" s="40" t="str">
        <v>January</v>
      </c>
      <c r="D24" s="40" t="str">
        <v>Expense</v>
      </c>
      <c r="E24" s="40" t="str">
        <v>Health</v>
      </c>
      <c r="F24" s="59">
        <v>9800</v>
      </c>
      <c r="G24" s="40" t="str">
        <v>Medicines</v>
      </c>
      <c r="P24" s="51" t="str">
        <v>Education</v>
      </c>
      <c r="Q24" s="62">
        <f t="shared" si="0"/>
        <v>35000</v>
      </c>
      <c r="R24" s="62">
        <f t="shared" si="1"/>
        <v>35000</v>
      </c>
      <c r="S24" s="52">
        <f t="shared" si="2"/>
        <v>1</v>
      </c>
    </row>
    <row r="25" spans="2:23" x14ac:dyDescent="0.25">
      <c r="B25" s="39">
        <v>45669</v>
      </c>
      <c r="C25" s="40" t="str">
        <v>January</v>
      </c>
      <c r="D25" s="40" t="str">
        <v>Expense</v>
      </c>
      <c r="E25" s="40" t="str">
        <v>Chicken &amp; Meat</v>
      </c>
      <c r="F25" s="59">
        <v>8200</v>
      </c>
      <c r="G25" s="40" t="str">
        <v>Chicken only</v>
      </c>
      <c r="P25" s="51" t="str">
        <v>Clothes &amp; Shoes Shopping</v>
      </c>
      <c r="Q25" s="62">
        <f t="shared" si="0"/>
        <v>40000</v>
      </c>
      <c r="R25" s="62">
        <f t="shared" si="1"/>
        <v>40000</v>
      </c>
      <c r="S25" s="52">
        <f t="shared" si="2"/>
        <v>1</v>
      </c>
    </row>
    <row r="26" spans="2:23" x14ac:dyDescent="0.25">
      <c r="B26" s="39">
        <v>45671</v>
      </c>
      <c r="C26" s="40" t="str">
        <v>January</v>
      </c>
      <c r="D26" s="40" t="str">
        <v>Expense</v>
      </c>
      <c r="E26" s="40" t="str">
        <v>Education</v>
      </c>
      <c r="F26" s="59">
        <v>35000</v>
      </c>
      <c r="G26" s="40" t="str">
        <v>School Fee</v>
      </c>
      <c r="P26" s="51" t="str">
        <v>Entertainment</v>
      </c>
      <c r="Q26" s="62">
        <f t="shared" si="0"/>
        <v>25000</v>
      </c>
      <c r="R26" s="62">
        <f t="shared" si="1"/>
        <v>25000</v>
      </c>
      <c r="S26" s="52">
        <f t="shared" si="2"/>
        <v>1</v>
      </c>
    </row>
    <row r="27" spans="2:23" x14ac:dyDescent="0.25">
      <c r="B27" s="39">
        <v>45672</v>
      </c>
      <c r="C27" s="40" t="str">
        <v>January</v>
      </c>
      <c r="D27" s="40" t="str">
        <v>Expense</v>
      </c>
      <c r="E27" s="40" t="str">
        <v>Utilities</v>
      </c>
      <c r="F27" s="59">
        <v>9300</v>
      </c>
      <c r="G27" s="40" t="str">
        <v>Gas Bill</v>
      </c>
      <c r="P27" s="51" t="str">
        <v>Taxes</v>
      </c>
      <c r="Q27" s="62">
        <f t="shared" si="0"/>
        <v>50000</v>
      </c>
      <c r="R27" s="62">
        <f t="shared" si="1"/>
        <v>50000</v>
      </c>
      <c r="S27" s="52">
        <f t="shared" si="2"/>
        <v>1</v>
      </c>
    </row>
    <row r="28" spans="2:23" x14ac:dyDescent="0.25">
      <c r="B28" s="39">
        <v>45672</v>
      </c>
      <c r="C28" s="40" t="str">
        <v>January</v>
      </c>
      <c r="D28" s="40" t="str">
        <v>Expense</v>
      </c>
      <c r="E28" s="40" t="str">
        <v>Clothes &amp; Shoes Shopping</v>
      </c>
      <c r="F28" s="59">
        <v>40000</v>
      </c>
      <c r="G28" s="40" t="str">
        <v>Clothes and shoes</v>
      </c>
      <c r="P28" s="51" t="str">
        <v>Personal Care</v>
      </c>
      <c r="Q28" s="62">
        <f t="shared" si="0"/>
        <v>12000</v>
      </c>
      <c r="R28" s="62">
        <f t="shared" si="1"/>
        <v>12000</v>
      </c>
      <c r="S28" s="52">
        <f t="shared" si="2"/>
        <v>1</v>
      </c>
    </row>
    <row r="29" spans="2:23" x14ac:dyDescent="0.25">
      <c r="B29" s="39">
        <v>45674</v>
      </c>
      <c r="C29" s="40" t="str">
        <v>January</v>
      </c>
      <c r="D29" s="40" t="str">
        <v>Expense</v>
      </c>
      <c r="E29" s="40" t="str">
        <v>Entertainment</v>
      </c>
      <c r="F29" s="59">
        <v>25000</v>
      </c>
      <c r="G29" s="40" t="str">
        <v>Netflix Subscription + Outing</v>
      </c>
      <c r="P29" s="51" t="str">
        <v>Insurance</v>
      </c>
      <c r="Q29" s="62">
        <f t="shared" si="0"/>
        <v>18000</v>
      </c>
      <c r="R29" s="62">
        <f t="shared" si="1"/>
        <v>18000</v>
      </c>
      <c r="S29" s="52">
        <f t="shared" si="2"/>
        <v>1</v>
      </c>
    </row>
    <row r="30" spans="2:23" x14ac:dyDescent="0.25">
      <c r="B30" s="39">
        <v>45676</v>
      </c>
      <c r="C30" s="40" t="str">
        <v>January</v>
      </c>
      <c r="D30" s="40" t="str">
        <v>Expense</v>
      </c>
      <c r="E30" s="40" t="str">
        <v>Groceries</v>
      </c>
      <c r="F30" s="59">
        <v>14500</v>
      </c>
      <c r="G30" s="40" t="str">
        <v>Bread and Eggs</v>
      </c>
      <c r="P30" s="51" t="str">
        <v>Ramazan Preparation</v>
      </c>
      <c r="Q30" s="62">
        <f t="shared" si="0"/>
        <v>13000</v>
      </c>
      <c r="R30" s="62">
        <f t="shared" si="1"/>
        <v>13000</v>
      </c>
      <c r="S30" s="52">
        <f t="shared" si="2"/>
        <v>1</v>
      </c>
    </row>
    <row r="31" spans="2:23" x14ac:dyDescent="0.25">
      <c r="B31" s="39">
        <v>45677</v>
      </c>
      <c r="C31" s="40" t="str">
        <v>January</v>
      </c>
      <c r="D31" s="40" t="str">
        <v>Expense</v>
      </c>
      <c r="E31" s="40" t="str">
        <v>Taxes</v>
      </c>
      <c r="F31" s="59">
        <v>50000</v>
      </c>
      <c r="G31" s="40" t="str">
        <v>Advance Tax Payment</v>
      </c>
      <c r="P31" s="53" t="str">
        <v>Miscellaneous Expenses</v>
      </c>
      <c r="Q31" s="63">
        <f t="shared" si="0"/>
        <v>9000</v>
      </c>
      <c r="R31" s="63">
        <f t="shared" si="1"/>
        <v>9000</v>
      </c>
      <c r="S31" s="54">
        <f t="shared" si="2"/>
        <v>1</v>
      </c>
    </row>
    <row r="32" spans="2:23" x14ac:dyDescent="0.25">
      <c r="B32" s="39">
        <v>45678</v>
      </c>
      <c r="C32" s="40" t="str">
        <v>January</v>
      </c>
      <c r="D32" s="40" t="str">
        <v>Income</v>
      </c>
      <c r="E32" s="40" t="str">
        <v>Business</v>
      </c>
      <c r="F32" s="59">
        <v>110000</v>
      </c>
      <c r="G32" s="40" t="str">
        <v>Wholesale margin</v>
      </c>
    </row>
    <row r="33" spans="2:7" x14ac:dyDescent="0.25">
      <c r="B33" s="39">
        <v>45679</v>
      </c>
      <c r="C33" s="40" t="str">
        <v>January</v>
      </c>
      <c r="D33" s="40" t="str">
        <v>Expense</v>
      </c>
      <c r="E33" s="40" t="str">
        <v>Personal Care</v>
      </c>
      <c r="F33" s="59">
        <v>12000</v>
      </c>
      <c r="G33" s="40" t="str">
        <v>Skincare and Haircare</v>
      </c>
    </row>
    <row r="34" spans="2:7" x14ac:dyDescent="0.25">
      <c r="B34" s="39">
        <v>45680</v>
      </c>
      <c r="C34" s="40" t="str">
        <v>January</v>
      </c>
      <c r="D34" s="40" t="str">
        <v>Expense</v>
      </c>
      <c r="E34" s="40" t="str">
        <v>Insurance</v>
      </c>
      <c r="F34" s="59">
        <v>18000</v>
      </c>
      <c r="G34" s="40" t="str">
        <v>Health Insurance Premium</v>
      </c>
    </row>
    <row r="35" spans="2:7" x14ac:dyDescent="0.25">
      <c r="B35" s="39">
        <v>45681</v>
      </c>
      <c r="C35" s="40" t="str">
        <v>January</v>
      </c>
      <c r="D35" s="40" t="str">
        <v>Expense</v>
      </c>
      <c r="E35" s="40" t="str">
        <v>Ramazan Preparation</v>
      </c>
      <c r="F35" s="59">
        <v>13000</v>
      </c>
      <c r="G35" s="40" t="str">
        <v>Food Items</v>
      </c>
    </row>
    <row r="36" spans="2:7" x14ac:dyDescent="0.25">
      <c r="B36" s="39">
        <v>45682</v>
      </c>
      <c r="C36" s="40" t="str">
        <v>January</v>
      </c>
      <c r="D36" s="40" t="str">
        <v>Expense</v>
      </c>
      <c r="E36" s="40" t="str">
        <v>House Help Workers</v>
      </c>
      <c r="F36" s="59">
        <v>3500</v>
      </c>
      <c r="G36" s="40" t="str">
        <v>Car Cleaner</v>
      </c>
    </row>
    <row r="37" spans="2:7" x14ac:dyDescent="0.25">
      <c r="B37" s="39">
        <v>45683</v>
      </c>
      <c r="C37" s="40" t="str">
        <v>January</v>
      </c>
      <c r="D37" s="40" t="str">
        <v>Income</v>
      </c>
      <c r="E37" s="40" t="str">
        <v>Car Rent</v>
      </c>
      <c r="F37" s="59">
        <v>25000</v>
      </c>
      <c r="G37" s="40" t="str">
        <v>Tenant - Car Rental</v>
      </c>
    </row>
    <row r="38" spans="2:7" x14ac:dyDescent="0.25">
      <c r="B38" s="39">
        <v>45684</v>
      </c>
      <c r="C38" s="40" t="str">
        <v>January</v>
      </c>
      <c r="D38" s="40" t="str">
        <v>Expense</v>
      </c>
      <c r="E38" s="40" t="str">
        <v>Utilities</v>
      </c>
      <c r="F38" s="59">
        <v>5800</v>
      </c>
      <c r="G38" s="40" t="str">
        <v>Phone Bill</v>
      </c>
    </row>
    <row r="39" spans="2:7" x14ac:dyDescent="0.25">
      <c r="B39" s="39">
        <v>45685</v>
      </c>
      <c r="C39" s="40" t="str">
        <v>January</v>
      </c>
      <c r="D39" s="40" t="str">
        <v>Expense</v>
      </c>
      <c r="E39" s="40" t="str">
        <v>Miscellaneous Expenses</v>
      </c>
      <c r="F39" s="59">
        <v>9000</v>
      </c>
      <c r="G39" s="40" t="str">
        <v>Different Estimated Expenses</v>
      </c>
    </row>
    <row r="40" spans="2:7" x14ac:dyDescent="0.25">
      <c r="B40" s="45">
        <v>45686</v>
      </c>
      <c r="C40" s="46" t="str">
        <v>January</v>
      </c>
      <c r="D40" s="46" t="str">
        <v>Income</v>
      </c>
      <c r="E40" s="46" t="str">
        <v>Freelancing</v>
      </c>
      <c r="F40" s="61">
        <v>70000</v>
      </c>
      <c r="G40" s="46" t="str">
        <v>Fiverr Project</v>
      </c>
    </row>
    <row r="41" spans="2:7" x14ac:dyDescent="0.25">
      <c r="B41" s="4"/>
      <c r="C41" s="11"/>
      <c r="D41" s="11"/>
      <c r="E41" s="11"/>
      <c r="F41" s="11"/>
      <c r="G41" s="11"/>
    </row>
    <row r="43" spans="2:7" ht="30" x14ac:dyDescent="0.25">
      <c r="B43" s="30" t="s">
        <v>91</v>
      </c>
      <c r="C43" s="31"/>
      <c r="D43" s="35" t="s">
        <v>92</v>
      </c>
      <c r="E43" s="35" t="s">
        <v>93</v>
      </c>
      <c r="F43" s="36" t="s">
        <v>94</v>
      </c>
      <c r="G43" s="16"/>
    </row>
    <row r="44" spans="2:7" x14ac:dyDescent="0.25">
      <c r="B44" s="17" t="s">
        <v>96</v>
      </c>
      <c r="C44" s="29"/>
      <c r="D44" s="64">
        <f>SUMIFS($Q$16:$Q$31,$Q$16:$Q$31,"&gt;10000")</f>
        <v>301100</v>
      </c>
      <c r="E44" s="64">
        <f>AVERAGEIFS($Q$16:$Q$31,$Q$16:$Q$31,"&gt;10000")</f>
        <v>27372.727272727272</v>
      </c>
      <c r="F44" s="37">
        <f>COUNTIFS($Q$16:$Q$31,"&gt;10000")</f>
        <v>11</v>
      </c>
    </row>
    <row r="45" spans="2:7" x14ac:dyDescent="0.25">
      <c r="B45" s="17" t="s">
        <v>95</v>
      </c>
      <c r="C45" s="29"/>
      <c r="D45" s="64">
        <f>SUMIFS($Q$16:$Q$31,$Q$16:$Q$31,"&lt;=10000",$Q$16:$Q$31,"&gt;=6000")</f>
        <v>33200</v>
      </c>
      <c r="E45" s="64">
        <f>AVERAGEIFS($Q$16:$Q$31,$Q$16:$Q$31,"&lt;=10000",$Q$16:$Q$31,"&gt;=6000")</f>
        <v>8300</v>
      </c>
      <c r="F45" s="37">
        <f>COUNTIFS($Q$16:$Q$31,"&lt;=10000",$Q$16:$Q$31,"&gt;=6000")</f>
        <v>4</v>
      </c>
    </row>
    <row r="46" spans="2:7" x14ac:dyDescent="0.25">
      <c r="B46" s="219" t="s">
        <v>97</v>
      </c>
      <c r="C46" s="220"/>
      <c r="D46" s="65">
        <f>SUMIFS($Q$16:$Q$31,$Q$16:$Q$31,"&lt;6000")</f>
        <v>3600</v>
      </c>
      <c r="E46" s="65">
        <f>AVERAGEIFS($Q$16:$Q$31,$Q$16:$Q$31,"&lt;6000")</f>
        <v>3600</v>
      </c>
      <c r="F46" s="38">
        <f>COUNTIFS($Q$16:$Q$31,"&lt;6000")</f>
        <v>1</v>
      </c>
    </row>
    <row r="51" spans="8:8" ht="36" customHeight="1" x14ac:dyDescent="0.25">
      <c r="H51" s="16"/>
    </row>
    <row r="52" spans="8:8" ht="23.25" customHeight="1" x14ac:dyDescent="0.25"/>
    <row r="53" spans="8:8" ht="23.25" customHeight="1" x14ac:dyDescent="0.25"/>
    <row r="54" spans="8:8" ht="23.25" customHeight="1" x14ac:dyDescent="0.25"/>
    <row r="71" s="19" customFormat="1" x14ac:dyDescent="0.25"/>
  </sheetData>
  <mergeCells count="26">
    <mergeCell ref="I13:N13"/>
    <mergeCell ref="R14:R15"/>
    <mergeCell ref="S14:S15"/>
    <mergeCell ref="B46:C46"/>
    <mergeCell ref="P14:P15"/>
    <mergeCell ref="J18:N18"/>
    <mergeCell ref="J19:N19"/>
    <mergeCell ref="J15:N15"/>
    <mergeCell ref="J16:N16"/>
    <mergeCell ref="J17:N17"/>
    <mergeCell ref="J14:N14"/>
    <mergeCell ref="Q14:Q15"/>
    <mergeCell ref="B7:C7"/>
    <mergeCell ref="D10:E10"/>
    <mergeCell ref="D8:E8"/>
    <mergeCell ref="D9:E9"/>
    <mergeCell ref="A1:XFD1"/>
    <mergeCell ref="B8:C8"/>
    <mergeCell ref="B9:C9"/>
    <mergeCell ref="Q4:R4"/>
    <mergeCell ref="Q6:R6"/>
    <mergeCell ref="Q9:R9"/>
    <mergeCell ref="C3:E3"/>
    <mergeCell ref="Q7:R8"/>
    <mergeCell ref="H3:I3"/>
    <mergeCell ref="J3:K3"/>
  </mergeCells>
  <phoneticPr fontId="5" type="noConversion"/>
  <conditionalFormatting sqref="H5:N10">
    <cfRule type="expression" dxfId="5" priority="5">
      <formula>MONTH(H5)&lt;&gt;MONTH($B$14)</formula>
    </cfRule>
  </conditionalFormatting>
  <conditionalFormatting sqref="Q16:Q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{89A27FE6-EFC5-4A72-BCA7-77858C6B8E6D}</x14:id>
        </ext>
      </extLst>
    </cfRule>
  </conditionalFormatting>
  <conditionalFormatting sqref="I15:N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{3FA11BC3-123B-427E-840E-9791CA8B5ADA}</x14:id>
        </ext>
      </extLst>
    </cfRule>
  </conditionalFormatting>
  <conditionalFormatting sqref="B14:G40">
    <cfRule type="expression" dxfId="4" priority="7">
      <formula>$B14=$P$7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A27FE6-EFC5-4A72-BCA7-77858C6B8E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Q16:Q31</xm:sqref>
        </x14:conditionalFormatting>
        <x14:conditionalFormatting xmlns:xm="http://schemas.microsoft.com/office/excel/2006/main">
          <x14:cfRule type="dataBar" id="{3FA11BC3-123B-427E-840E-9791CA8B5AD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I15:N19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ateAxis="1" displayEmptyCellsAs="gap" xr2:uid="{1B86DF2C-E09B-4BB7-8168-57007D8243F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m:f>January!Q16:Q31</xm:f>
          <x14:sparklines>
            <x14:sparkline>
              <xm:f>January!Q17:Q17</xm:f>
              <xm:sqref>Q17</xm:sqref>
            </x14:sparkline>
            <x14:sparkline>
              <xm:f>January!Q18:Q18</xm:f>
              <xm:sqref>Q18</xm:sqref>
            </x14:sparkline>
            <x14:sparkline>
              <xm:f>January!Q19:Q19</xm:f>
              <xm:sqref>Q19</xm:sqref>
            </x14:sparkline>
            <x14:sparkline>
              <xm:f>January!Q20:Q20</xm:f>
              <xm:sqref>Q20</xm:sqref>
            </x14:sparkline>
            <x14:sparkline>
              <xm:f>January!Q21:Q21</xm:f>
              <xm:sqref>Q21</xm:sqref>
            </x14:sparkline>
            <x14:sparkline>
              <xm:f>January!Q22:Q22</xm:f>
              <xm:sqref>Q22</xm:sqref>
            </x14:sparkline>
            <x14:sparkline>
              <xm:f>January!Q23:Q23</xm:f>
              <xm:sqref>Q23</xm:sqref>
            </x14:sparkline>
            <x14:sparkline>
              <xm:f>January!Q24:Q24</xm:f>
              <xm:sqref>Q24</xm:sqref>
            </x14:sparkline>
            <x14:sparkline>
              <xm:f>January!Q25:Q25</xm:f>
              <xm:sqref>Q25</xm:sqref>
            </x14:sparkline>
            <x14:sparkline>
              <xm:f>January!Q26:Q26</xm:f>
              <xm:sqref>Q26</xm:sqref>
            </x14:sparkline>
            <x14:sparkline>
              <xm:f>January!Q27:Q27</xm:f>
              <xm:sqref>Q27</xm:sqref>
            </x14:sparkline>
            <x14:sparkline>
              <xm:f>January!Q28:Q28</xm:f>
              <xm:sqref>Q28</xm:sqref>
            </x14:sparkline>
            <x14:sparkline>
              <xm:f>January!Q29:Q29</xm:f>
              <xm:sqref>Q29</xm:sqref>
            </x14:sparkline>
            <x14:sparkline>
              <xm:f>January!Q30:Q30</xm:f>
              <xm:sqref>Q30</xm:sqref>
            </x14:sparkline>
            <x14:sparkline>
              <xm:f>January!Q31:Q31</xm:f>
              <xm:sqref>Q31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C4D5E-4579-4C48-A208-8D55FAB2EA4C}">
  <sheetPr codeName="Sheet4"/>
  <dimension ref="A1:W71"/>
  <sheetViews>
    <sheetView showGridLines="0" zoomScale="50" zoomScaleNormal="50" workbookViewId="0">
      <selection activeCell="K7" sqref="K7"/>
    </sheetView>
  </sheetViews>
  <sheetFormatPr defaultRowHeight="15" x14ac:dyDescent="0.25"/>
  <cols>
    <col min="1" max="1" width="6.28515625" customWidth="1"/>
    <col min="2" max="2" width="13.5703125" customWidth="1"/>
    <col min="3" max="3" width="9.85546875" bestFit="1" customWidth="1"/>
    <col min="4" max="4" width="15" customWidth="1"/>
    <col min="5" max="5" width="30" bestFit="1" customWidth="1"/>
    <col min="6" max="6" width="15.42578125" bestFit="1" customWidth="1"/>
    <col min="7" max="7" width="31.28515625" bestFit="1" customWidth="1"/>
    <col min="8" max="8" width="10.5703125" customWidth="1"/>
    <col min="9" max="12" width="8.85546875" customWidth="1"/>
    <col min="13" max="13" width="7.42578125" customWidth="1"/>
    <col min="14" max="14" width="7.140625" customWidth="1"/>
    <col min="15" max="15" width="9.85546875" customWidth="1"/>
    <col min="16" max="16" width="30.42578125" bestFit="1" customWidth="1"/>
    <col min="17" max="17" width="15" customWidth="1"/>
    <col min="18" max="18" width="16" customWidth="1"/>
    <col min="19" max="19" width="14.85546875" customWidth="1"/>
    <col min="20" max="20" width="23.140625" bestFit="1" customWidth="1"/>
    <col min="21" max="21" width="7.140625" bestFit="1" customWidth="1"/>
    <col min="22" max="22" width="12.28515625" bestFit="1" customWidth="1"/>
    <col min="23" max="23" width="5.7109375" hidden="1" customWidth="1"/>
  </cols>
  <sheetData>
    <row r="1" spans="1:23" s="149" customFormat="1" ht="55.5" customHeight="1" x14ac:dyDescent="0.25">
      <c r="A1" s="149" t="s">
        <v>111</v>
      </c>
    </row>
    <row r="2" spans="1:23" s="21" customFormat="1" ht="32.25" customHeight="1" x14ac:dyDescent="0.25"/>
    <row r="3" spans="1:23" s="20" customFormat="1" ht="39.75" x14ac:dyDescent="0.6">
      <c r="C3" s="206" t="str">
        <f>CONCATENATE(H3," ","'25")</f>
        <v>February '25</v>
      </c>
      <c r="D3" s="207"/>
      <c r="E3" s="207"/>
      <c r="H3" s="210" t="str">
        <f>TEXT(B14,"mmmm")</f>
        <v>February</v>
      </c>
      <c r="I3" s="210"/>
      <c r="J3" s="211">
        <f>YEAR(B14)</f>
        <v>2025</v>
      </c>
      <c r="K3" s="211"/>
      <c r="L3"/>
      <c r="M3"/>
      <c r="N3"/>
    </row>
    <row r="4" spans="1:23" ht="15.75" x14ac:dyDescent="0.25">
      <c r="H4" s="26" t="s">
        <v>99</v>
      </c>
      <c r="I4" s="27" t="s">
        <v>100</v>
      </c>
      <c r="J4" s="27" t="s">
        <v>101</v>
      </c>
      <c r="K4" s="27" t="s">
        <v>102</v>
      </c>
      <c r="L4" s="27" t="s">
        <v>103</v>
      </c>
      <c r="M4" s="27" t="s">
        <v>104</v>
      </c>
      <c r="N4" s="28" t="s">
        <v>105</v>
      </c>
      <c r="P4" s="26" t="s">
        <v>0</v>
      </c>
      <c r="Q4" s="200" t="s">
        <v>112</v>
      </c>
      <c r="R4" s="201"/>
    </row>
    <row r="5" spans="1:23" ht="15.75" x14ac:dyDescent="0.25">
      <c r="H5" s="7" cm="1">
        <f t="array" ref="H5:N10">_xlfn.SEQUENCE(6,7,DATEVALUE(H3&amp;J3)-WEEKDAY(H3&amp;J3)+1)</f>
        <v>45683</v>
      </c>
      <c r="I5" s="8">
        <v>45684</v>
      </c>
      <c r="J5" s="8">
        <v>45685</v>
      </c>
      <c r="K5" s="8">
        <v>45686</v>
      </c>
      <c r="L5" s="8">
        <v>45687</v>
      </c>
      <c r="M5" s="8">
        <v>45688</v>
      </c>
      <c r="N5" s="9">
        <v>45689</v>
      </c>
      <c r="P5" s="99"/>
      <c r="Q5" s="101"/>
      <c r="R5" s="102"/>
    </row>
    <row r="6" spans="1:23" ht="15.75" x14ac:dyDescent="0.25">
      <c r="H6" s="7">
        <v>45690</v>
      </c>
      <c r="I6" s="8">
        <v>45691</v>
      </c>
      <c r="J6" s="8">
        <v>45692</v>
      </c>
      <c r="K6" s="8">
        <v>45693</v>
      </c>
      <c r="L6" s="8">
        <v>45694</v>
      </c>
      <c r="M6" s="8">
        <v>45695</v>
      </c>
      <c r="N6" s="9">
        <v>45696</v>
      </c>
      <c r="P6" s="99"/>
      <c r="Q6" s="202" t="str" cm="1">
        <f t="array" ref="Q6">IFERROR(IF(_xlfn.TEXTJOIN(", ",TRUE,_xlfn._xlws.FILTER($D$14:$D$40,$B$14:$B$40=$P$7))="Income","Income from","Expenses on"),"")</f>
        <v>Expenses on</v>
      </c>
      <c r="R6" s="203"/>
    </row>
    <row r="7" spans="1:23" ht="26.25" customHeight="1" x14ac:dyDescent="0.4">
      <c r="B7" s="192" t="s">
        <v>81</v>
      </c>
      <c r="C7" s="193"/>
      <c r="D7" s="12"/>
      <c r="E7" s="13"/>
      <c r="H7" s="7">
        <v>45697</v>
      </c>
      <c r="I7" s="8">
        <v>45698</v>
      </c>
      <c r="J7" s="8">
        <v>45699</v>
      </c>
      <c r="K7" s="8">
        <v>45700</v>
      </c>
      <c r="L7" s="8">
        <v>45701</v>
      </c>
      <c r="M7" s="8">
        <v>45702</v>
      </c>
      <c r="N7" s="9">
        <v>45703</v>
      </c>
      <c r="P7" s="107">
        <v>45700</v>
      </c>
      <c r="Q7" s="208" t="str" cm="1">
        <f t="array" ref="Q7">IFERROR(_xlfn.TEXTJOIN(", ",TRUE,_xlfn._xlws.FILTER(TRIM($G$14:$G$40),$B$14:$B$40=$P$7)),"No Activity")</f>
        <v>Medicines</v>
      </c>
      <c r="R7" s="209"/>
    </row>
    <row r="8" spans="1:23" ht="15.75" x14ac:dyDescent="0.25">
      <c r="B8" s="198" t="s">
        <v>78</v>
      </c>
      <c r="C8" s="199"/>
      <c r="D8" s="196">
        <f>SUMIF($D$14:$D$40,"Income",$F$14:$F$40)</f>
        <v>490000</v>
      </c>
      <c r="E8" s="197"/>
      <c r="H8" s="7">
        <v>45704</v>
      </c>
      <c r="I8" s="8">
        <v>45705</v>
      </c>
      <c r="J8" s="8">
        <v>45706</v>
      </c>
      <c r="K8" s="8">
        <v>45707</v>
      </c>
      <c r="L8" s="8">
        <v>45708</v>
      </c>
      <c r="M8" s="8">
        <v>45709</v>
      </c>
      <c r="N8" s="9">
        <v>45710</v>
      </c>
      <c r="P8" s="105"/>
      <c r="Q8" s="208"/>
      <c r="R8" s="209"/>
    </row>
    <row r="9" spans="1:23" ht="15.75" x14ac:dyDescent="0.25">
      <c r="B9" s="198" t="s">
        <v>79</v>
      </c>
      <c r="C9" s="199"/>
      <c r="D9" s="196">
        <f>SUMIF($D$14:$D$40,"Expense",$F$14:$F$40)</f>
        <v>310200</v>
      </c>
      <c r="E9" s="197"/>
      <c r="H9" s="7">
        <v>45711</v>
      </c>
      <c r="I9" s="8">
        <v>45712</v>
      </c>
      <c r="J9" s="8">
        <v>45713</v>
      </c>
      <c r="K9" s="8">
        <v>45714</v>
      </c>
      <c r="L9" s="8">
        <v>45715</v>
      </c>
      <c r="M9" s="8">
        <v>45716</v>
      </c>
      <c r="N9" s="9">
        <v>45717</v>
      </c>
      <c r="P9" s="99"/>
      <c r="Q9" s="204">
        <f>IF(SUMIF($B$14:$B$40,$P$7,F14:F40)=0,"",SUMIF($B$14:$B$40,$P$7,F14:F40))</f>
        <v>7300</v>
      </c>
      <c r="R9" s="205"/>
    </row>
    <row r="10" spans="1:23" ht="15.75" x14ac:dyDescent="0.25">
      <c r="B10" s="49" t="s">
        <v>80</v>
      </c>
      <c r="C10" s="50"/>
      <c r="D10" s="194">
        <f>D8-D9</f>
        <v>179800</v>
      </c>
      <c r="E10" s="195"/>
      <c r="H10" s="32">
        <v>45718</v>
      </c>
      <c r="I10" s="33">
        <v>45719</v>
      </c>
      <c r="J10" s="33">
        <v>45720</v>
      </c>
      <c r="K10" s="33">
        <v>45721</v>
      </c>
      <c r="L10" s="33">
        <v>45722</v>
      </c>
      <c r="M10" s="33">
        <v>45723</v>
      </c>
      <c r="N10" s="34">
        <v>45724</v>
      </c>
      <c r="P10" s="100"/>
      <c r="Q10" s="103"/>
      <c r="R10" s="104"/>
    </row>
    <row r="11" spans="1:23" ht="15.75" x14ac:dyDescent="0.25">
      <c r="H11" s="25"/>
      <c r="I11" s="25"/>
      <c r="J11" s="25"/>
      <c r="K11" s="25"/>
      <c r="L11" s="25"/>
      <c r="M11" s="25"/>
      <c r="N11" s="25"/>
    </row>
    <row r="13" spans="1:23" ht="22.5" x14ac:dyDescent="0.3">
      <c r="B13" s="55" t="s">
        <v>0</v>
      </c>
      <c r="C13" s="55" t="s">
        <v>77</v>
      </c>
      <c r="D13" s="55" t="s">
        <v>1</v>
      </c>
      <c r="E13" s="55" t="s">
        <v>2</v>
      </c>
      <c r="F13" s="55" t="s">
        <v>3</v>
      </c>
      <c r="G13" s="55" t="s">
        <v>4</v>
      </c>
      <c r="I13" s="212" t="s">
        <v>82</v>
      </c>
      <c r="J13" s="213"/>
      <c r="K13" s="213"/>
      <c r="L13" s="213"/>
      <c r="M13" s="213"/>
      <c r="N13" s="214"/>
      <c r="P13" s="14" t="s">
        <v>106</v>
      </c>
      <c r="Q13" s="15"/>
      <c r="R13" s="15"/>
      <c r="S13" s="22"/>
      <c r="W13" s="18" t="s">
        <v>94</v>
      </c>
    </row>
    <row r="14" spans="1:23" ht="15" customHeight="1" x14ac:dyDescent="0.25">
      <c r="B14" s="39" cm="1">
        <f t="array" ref="B14:G38">_xlfn._xlws.FILTER('Raw Data'!$A$1:$F$81,'Raw Data'!$B$1:$B$81="February")</f>
        <v>45689</v>
      </c>
      <c r="C14" s="40" t="str">
        <v>February</v>
      </c>
      <c r="D14" s="40" t="str">
        <v>Income</v>
      </c>
      <c r="E14" s="40" t="str">
        <v>Salary</v>
      </c>
      <c r="F14" s="59">
        <v>250000</v>
      </c>
      <c r="G14" s="40" t="str">
        <v>Salary from office</v>
      </c>
      <c r="I14" s="23" t="s">
        <v>87</v>
      </c>
      <c r="J14" s="227" t="s">
        <v>88</v>
      </c>
      <c r="K14" s="227"/>
      <c r="L14" s="227"/>
      <c r="M14" s="227"/>
      <c r="N14" s="228"/>
      <c r="P14" s="221" t="s">
        <v>108</v>
      </c>
      <c r="Q14" s="215" t="s">
        <v>89</v>
      </c>
      <c r="R14" s="215" t="s">
        <v>107</v>
      </c>
      <c r="S14" s="217" t="s">
        <v>90</v>
      </c>
      <c r="W14" s="24"/>
    </row>
    <row r="15" spans="1:23" ht="21" customHeight="1" x14ac:dyDescent="0.25">
      <c r="B15" s="39">
        <v>45690</v>
      </c>
      <c r="C15" s="40" t="str">
        <v>February</v>
      </c>
      <c r="D15" s="40" t="str">
        <v>Expense</v>
      </c>
      <c r="E15" s="40" t="str">
        <v>Groceries</v>
      </c>
      <c r="F15" s="59">
        <v>19500</v>
      </c>
      <c r="G15" s="40" t="str">
        <v>Spices, food items, oil, grains</v>
      </c>
      <c r="I15" s="47" t="str" cm="1">
        <f t="array" ref="I15:I19">_xlfn.UNIQUE(_xlfn._xlws.FILTER(Category,Type="Income"))</f>
        <v>Salary</v>
      </c>
      <c r="J15" s="223">
        <f>SUMIF($E$13:$E$38,I15,$F$13:$F$38)</f>
        <v>250000</v>
      </c>
      <c r="K15" s="223"/>
      <c r="L15" s="223"/>
      <c r="M15" s="223"/>
      <c r="N15" s="224"/>
      <c r="P15" s="222"/>
      <c r="Q15" s="216"/>
      <c r="R15" s="216"/>
      <c r="S15" s="218"/>
      <c r="W15" s="10">
        <f>COUNTIFS($Q$16:$Q$31,"&gt;10000")</f>
        <v>11</v>
      </c>
    </row>
    <row r="16" spans="1:23" x14ac:dyDescent="0.25">
      <c r="B16" s="39">
        <v>45691</v>
      </c>
      <c r="C16" s="40" t="str">
        <v>February</v>
      </c>
      <c r="D16" s="40" t="str">
        <v>Expense</v>
      </c>
      <c r="E16" s="40" t="str">
        <v>Fruits &amp; Vegetables</v>
      </c>
      <c r="F16" s="59">
        <v>7400</v>
      </c>
      <c r="G16" s="40" t="str">
        <v>Fruits and Vegetables</v>
      </c>
      <c r="I16" s="47" t="str">
        <v>Freelancing</v>
      </c>
      <c r="J16" s="223">
        <f>SUMIF($E$13:$E$41,I16,$F$13:$F$41)</f>
        <v>45000</v>
      </c>
      <c r="K16" s="223"/>
      <c r="L16" s="223"/>
      <c r="M16" s="223"/>
      <c r="N16" s="224"/>
      <c r="P16" s="51" t="str" cm="1">
        <f t="array" ref="P16:P31">_xlfn.UNIQUE(_xlfn._xlws.FILTER($E$14:$E$40,$D$14:$D$40="Expense"))</f>
        <v>Groceries</v>
      </c>
      <c r="Q16" s="62">
        <f>SUMIF($E$13:$E$38,$P16,$F$13:$F$38)</f>
        <v>31000</v>
      </c>
      <c r="R16" s="62">
        <f>AVERAGEIF($E$13:$E$38,$P16,$F$13:$F$38)</f>
        <v>15500</v>
      </c>
      <c r="S16" s="52">
        <f>COUNTIF($E$13:$E$38,$P16)</f>
        <v>2</v>
      </c>
      <c r="W16" s="10">
        <f>COUNTIFS($Q$16:$Q$31,"&lt;=10000",$Q$16:$Q$31,"&gt;=6000")</f>
        <v>4</v>
      </c>
    </row>
    <row r="17" spans="2:23" x14ac:dyDescent="0.25">
      <c r="B17" s="39">
        <v>45692</v>
      </c>
      <c r="C17" s="40" t="str">
        <v>February</v>
      </c>
      <c r="D17" s="40" t="str">
        <v>Expense</v>
      </c>
      <c r="E17" s="40" t="str">
        <v>House Help Workers</v>
      </c>
      <c r="F17" s="59">
        <v>18000</v>
      </c>
      <c r="G17" s="40" t="str">
        <v>House Maid</v>
      </c>
      <c r="I17" s="47" t="str">
        <v>Apartment Rent</v>
      </c>
      <c r="J17" s="223">
        <f>SUMIF($E$13:$E$41,I17,$F$13:$F$41)</f>
        <v>75000</v>
      </c>
      <c r="K17" s="223"/>
      <c r="L17" s="223"/>
      <c r="M17" s="223"/>
      <c r="N17" s="224"/>
      <c r="P17" s="51" t="str">
        <v>Fruits &amp; Vegetables</v>
      </c>
      <c r="Q17" s="62">
        <f t="shared" ref="Q17:Q31" si="0">SUMIF($E$13:$E$38,$P17,$F$13:$F$38)</f>
        <v>7400</v>
      </c>
      <c r="R17" s="62">
        <f t="shared" ref="R17:R31" si="1">AVERAGEIF($E$13:$E$38,$P17,$F$13:$F$38)</f>
        <v>7400</v>
      </c>
      <c r="S17" s="52">
        <f t="shared" ref="S17:S31" si="2">COUNTIF($E$13:$E$38,$P17)</f>
        <v>1</v>
      </c>
      <c r="W17" s="6">
        <f>COUNTIFS($Q$16:$Q$31,"&lt;6000")</f>
        <v>1</v>
      </c>
    </row>
    <row r="18" spans="2:23" x14ac:dyDescent="0.25">
      <c r="B18" s="39">
        <v>45693</v>
      </c>
      <c r="C18" s="40" t="str">
        <v>February</v>
      </c>
      <c r="D18" s="40" t="str">
        <v>Expense</v>
      </c>
      <c r="E18" s="40" t="str">
        <v>House Help Workers</v>
      </c>
      <c r="F18" s="59">
        <v>4500</v>
      </c>
      <c r="G18" s="40" t="str">
        <v>Garbage Picker</v>
      </c>
      <c r="I18" s="47" t="str">
        <v>Business</v>
      </c>
      <c r="J18" s="223">
        <f>SUMIF($E$13:$E$41,I18,$F$13:$F$41)</f>
        <v>95000</v>
      </c>
      <c r="K18" s="223"/>
      <c r="L18" s="223"/>
      <c r="M18" s="223"/>
      <c r="N18" s="224"/>
      <c r="P18" s="51" t="str">
        <v>House Help Workers</v>
      </c>
      <c r="Q18" s="62">
        <f t="shared" si="0"/>
        <v>26000</v>
      </c>
      <c r="R18" s="62">
        <f t="shared" si="1"/>
        <v>8666.6666666666661</v>
      </c>
      <c r="S18" s="52">
        <f t="shared" si="2"/>
        <v>3</v>
      </c>
    </row>
    <row r="19" spans="2:23" x14ac:dyDescent="0.25">
      <c r="B19" s="39">
        <v>45694</v>
      </c>
      <c r="C19" s="40" t="str">
        <v>February</v>
      </c>
      <c r="D19" s="40" t="str">
        <v>Expense</v>
      </c>
      <c r="E19" s="40" t="str">
        <v>Milk</v>
      </c>
      <c r="F19" s="59">
        <v>3800</v>
      </c>
      <c r="G19" s="40" t="str">
        <v>2 kg milk</v>
      </c>
      <c r="I19" s="48" t="str">
        <v>Car Rent</v>
      </c>
      <c r="J19" s="225">
        <f>SUMIF($E$13:$E$41,I19,$F$13:$F$41)</f>
        <v>25000</v>
      </c>
      <c r="K19" s="225"/>
      <c r="L19" s="225"/>
      <c r="M19" s="225"/>
      <c r="N19" s="226"/>
      <c r="P19" s="51" t="str">
        <v>Milk</v>
      </c>
      <c r="Q19" s="62">
        <f t="shared" si="0"/>
        <v>3800</v>
      </c>
      <c r="R19" s="62">
        <f t="shared" si="1"/>
        <v>3800</v>
      </c>
      <c r="S19" s="52">
        <f t="shared" si="2"/>
        <v>1</v>
      </c>
    </row>
    <row r="20" spans="2:23" x14ac:dyDescent="0.25">
      <c r="B20" s="39">
        <v>45695</v>
      </c>
      <c r="C20" s="40" t="str">
        <v>February</v>
      </c>
      <c r="D20" s="40" t="str">
        <v>Income</v>
      </c>
      <c r="E20" s="40" t="str">
        <v>Freelancing</v>
      </c>
      <c r="F20" s="59">
        <v>45000</v>
      </c>
      <c r="G20" s="40" t="str">
        <v>Upwork Client</v>
      </c>
      <c r="P20" s="51" t="str">
        <v>Utilities</v>
      </c>
      <c r="Q20" s="62">
        <f t="shared" si="0"/>
        <v>18000</v>
      </c>
      <c r="R20" s="62">
        <f t="shared" si="1"/>
        <v>9000</v>
      </c>
      <c r="S20" s="52">
        <f t="shared" si="2"/>
        <v>2</v>
      </c>
    </row>
    <row r="21" spans="2:23" x14ac:dyDescent="0.25">
      <c r="B21" s="39">
        <v>45696</v>
      </c>
      <c r="C21" s="40" t="str">
        <v>February</v>
      </c>
      <c r="D21" s="40" t="str">
        <v>Expense</v>
      </c>
      <c r="E21" s="40" t="str">
        <v>Utilities</v>
      </c>
      <c r="F21" s="59">
        <v>11200</v>
      </c>
      <c r="G21" s="40" t="str">
        <v>Electricity Bill</v>
      </c>
      <c r="P21" s="51" t="str">
        <v>Transportation</v>
      </c>
      <c r="Q21" s="62">
        <f t="shared" si="0"/>
        <v>19700</v>
      </c>
      <c r="R21" s="62">
        <f t="shared" si="1"/>
        <v>19700</v>
      </c>
      <c r="S21" s="52">
        <f t="shared" si="2"/>
        <v>1</v>
      </c>
    </row>
    <row r="22" spans="2:23" x14ac:dyDescent="0.25">
      <c r="B22" s="39">
        <v>45697</v>
      </c>
      <c r="C22" s="40" t="str">
        <v>February</v>
      </c>
      <c r="D22" s="40" t="str">
        <v>Expense</v>
      </c>
      <c r="E22" s="40" t="str">
        <v>Transportation</v>
      </c>
      <c r="F22" s="59">
        <v>19700</v>
      </c>
      <c r="G22" s="40" t="str">
        <v>Car 1 Petrol</v>
      </c>
      <c r="P22" s="51" t="str">
        <v>Health</v>
      </c>
      <c r="Q22" s="62">
        <f t="shared" si="0"/>
        <v>7300</v>
      </c>
      <c r="R22" s="62">
        <f t="shared" si="1"/>
        <v>7300</v>
      </c>
      <c r="S22" s="52">
        <f t="shared" si="2"/>
        <v>1</v>
      </c>
    </row>
    <row r="23" spans="2:23" x14ac:dyDescent="0.25">
      <c r="B23" s="39">
        <v>45698</v>
      </c>
      <c r="C23" s="40" t="str">
        <v>February</v>
      </c>
      <c r="D23" s="40" t="str">
        <v>Income</v>
      </c>
      <c r="E23" s="40" t="str">
        <v>Apartment Rent</v>
      </c>
      <c r="F23" s="59">
        <v>75000</v>
      </c>
      <c r="G23" s="40" t="str">
        <v>Tenant - Apartment 3A</v>
      </c>
      <c r="P23" s="51" t="str">
        <v>Chicken &amp; Meat</v>
      </c>
      <c r="Q23" s="62">
        <f t="shared" si="0"/>
        <v>9000</v>
      </c>
      <c r="R23" s="62">
        <f t="shared" si="1"/>
        <v>9000</v>
      </c>
      <c r="S23" s="52">
        <f t="shared" si="2"/>
        <v>1</v>
      </c>
    </row>
    <row r="24" spans="2:23" x14ac:dyDescent="0.25">
      <c r="B24" s="39">
        <v>45700</v>
      </c>
      <c r="C24" s="40" t="str">
        <v>February</v>
      </c>
      <c r="D24" s="40" t="str">
        <v>Expense</v>
      </c>
      <c r="E24" s="40" t="str">
        <v>Health</v>
      </c>
      <c r="F24" s="59">
        <v>7300</v>
      </c>
      <c r="G24" s="40" t="str">
        <v>Medicines</v>
      </c>
      <c r="P24" s="51" t="str">
        <v>Education</v>
      </c>
      <c r="Q24" s="62">
        <f t="shared" si="0"/>
        <v>36000</v>
      </c>
      <c r="R24" s="62">
        <f t="shared" si="1"/>
        <v>36000</v>
      </c>
      <c r="S24" s="52">
        <f t="shared" si="2"/>
        <v>1</v>
      </c>
    </row>
    <row r="25" spans="2:23" x14ac:dyDescent="0.25">
      <c r="B25" s="39">
        <v>45701</v>
      </c>
      <c r="C25" s="40" t="str">
        <v>February</v>
      </c>
      <c r="D25" s="40" t="str">
        <v>Expense</v>
      </c>
      <c r="E25" s="40" t="str">
        <v>Chicken &amp; Meat</v>
      </c>
      <c r="F25" s="59">
        <v>9000</v>
      </c>
      <c r="G25" s="40" t="str">
        <v>Chicken and Mutton</v>
      </c>
      <c r="P25" s="51" t="str">
        <v>Clothes &amp; Shoes Shopping</v>
      </c>
      <c r="Q25" s="62">
        <f t="shared" si="0"/>
        <v>30000</v>
      </c>
      <c r="R25" s="62">
        <f t="shared" si="1"/>
        <v>30000</v>
      </c>
      <c r="S25" s="52">
        <f t="shared" si="2"/>
        <v>1</v>
      </c>
    </row>
    <row r="26" spans="2:23" x14ac:dyDescent="0.25">
      <c r="B26" s="39">
        <v>45703</v>
      </c>
      <c r="C26" s="40" t="str">
        <v>February</v>
      </c>
      <c r="D26" s="40" t="str">
        <v>Expense</v>
      </c>
      <c r="E26" s="40" t="str">
        <v>Education</v>
      </c>
      <c r="F26" s="59">
        <v>36000</v>
      </c>
      <c r="G26" s="40" t="str">
        <v>University Fee</v>
      </c>
      <c r="P26" s="51" t="str">
        <v>Entertainment</v>
      </c>
      <c r="Q26" s="62">
        <f t="shared" si="0"/>
        <v>20000</v>
      </c>
      <c r="R26" s="62">
        <f t="shared" si="1"/>
        <v>20000</v>
      </c>
      <c r="S26" s="52">
        <f t="shared" si="2"/>
        <v>1</v>
      </c>
    </row>
    <row r="27" spans="2:23" x14ac:dyDescent="0.25">
      <c r="B27" s="39">
        <v>45704</v>
      </c>
      <c r="C27" s="40" t="str">
        <v>February</v>
      </c>
      <c r="D27" s="40" t="str">
        <v>Expense</v>
      </c>
      <c r="E27" s="40" t="str">
        <v>Clothes &amp; Shoes Shopping</v>
      </c>
      <c r="F27" s="59">
        <v>30000</v>
      </c>
      <c r="G27" s="40" t="str">
        <v>Clothes and shoes</v>
      </c>
      <c r="P27" s="51" t="str">
        <v>Taxes</v>
      </c>
      <c r="Q27" s="62">
        <f t="shared" si="0"/>
        <v>50000</v>
      </c>
      <c r="R27" s="62">
        <f t="shared" si="1"/>
        <v>50000</v>
      </c>
      <c r="S27" s="52">
        <f t="shared" si="2"/>
        <v>1</v>
      </c>
    </row>
    <row r="28" spans="2:23" x14ac:dyDescent="0.25">
      <c r="B28" s="39">
        <v>45705</v>
      </c>
      <c r="C28" s="40" t="str">
        <v>February</v>
      </c>
      <c r="D28" s="40" t="str">
        <v>Expense</v>
      </c>
      <c r="E28" s="40" t="str">
        <v>Entertainment</v>
      </c>
      <c r="F28" s="59">
        <v>20000</v>
      </c>
      <c r="G28" s="40" t="str">
        <v>Netflix + Dining Out</v>
      </c>
      <c r="P28" s="51" t="str">
        <v>Personal Care</v>
      </c>
      <c r="Q28" s="62">
        <f t="shared" si="0"/>
        <v>15500</v>
      </c>
      <c r="R28" s="62">
        <f t="shared" si="1"/>
        <v>15500</v>
      </c>
      <c r="S28" s="52">
        <f t="shared" si="2"/>
        <v>1</v>
      </c>
    </row>
    <row r="29" spans="2:23" x14ac:dyDescent="0.25">
      <c r="B29" s="39">
        <v>45707</v>
      </c>
      <c r="C29" s="40" t="str">
        <v>February</v>
      </c>
      <c r="D29" s="40" t="str">
        <v>Expense</v>
      </c>
      <c r="E29" s="40" t="str">
        <v>Groceries</v>
      </c>
      <c r="F29" s="59">
        <v>11500</v>
      </c>
      <c r="G29" s="40" t="str">
        <v>Bread, Eggs, Snacks</v>
      </c>
      <c r="P29" s="51" t="str">
        <v>Insurance</v>
      </c>
      <c r="Q29" s="62">
        <f t="shared" si="0"/>
        <v>18000</v>
      </c>
      <c r="R29" s="62">
        <f t="shared" si="1"/>
        <v>18000</v>
      </c>
      <c r="S29" s="52">
        <f t="shared" si="2"/>
        <v>1</v>
      </c>
    </row>
    <row r="30" spans="2:23" x14ac:dyDescent="0.25">
      <c r="B30" s="39">
        <v>45708</v>
      </c>
      <c r="C30" s="40" t="str">
        <v>February</v>
      </c>
      <c r="D30" s="40" t="str">
        <v>Expense</v>
      </c>
      <c r="E30" s="40" t="str">
        <v>Taxes</v>
      </c>
      <c r="F30" s="59">
        <v>50000</v>
      </c>
      <c r="G30" s="40" t="str">
        <v>Property Tax Payment</v>
      </c>
      <c r="P30" s="51" t="str">
        <v>Ramazan Preparation</v>
      </c>
      <c r="Q30" s="62">
        <f t="shared" si="0"/>
        <v>10500</v>
      </c>
      <c r="R30" s="62">
        <f t="shared" si="1"/>
        <v>10500</v>
      </c>
      <c r="S30" s="52">
        <f t="shared" si="2"/>
        <v>1</v>
      </c>
    </row>
    <row r="31" spans="2:23" x14ac:dyDescent="0.25">
      <c r="B31" s="39">
        <v>45709</v>
      </c>
      <c r="C31" s="40" t="str">
        <v>February</v>
      </c>
      <c r="D31" s="40" t="str">
        <v>Income</v>
      </c>
      <c r="E31" s="40" t="str">
        <v>Business</v>
      </c>
      <c r="F31" s="59">
        <v>95000</v>
      </c>
      <c r="G31" s="40" t="str">
        <v>Wholesale margin</v>
      </c>
      <c r="P31" s="53" t="str">
        <v>Miscellaneous Expenses</v>
      </c>
      <c r="Q31" s="62">
        <f t="shared" si="0"/>
        <v>8000</v>
      </c>
      <c r="R31" s="62">
        <f t="shared" si="1"/>
        <v>8000</v>
      </c>
      <c r="S31" s="52">
        <f t="shared" si="2"/>
        <v>1</v>
      </c>
    </row>
    <row r="32" spans="2:23" x14ac:dyDescent="0.25">
      <c r="B32" s="39">
        <v>45710</v>
      </c>
      <c r="C32" s="40" t="str">
        <v>February</v>
      </c>
      <c r="D32" s="40" t="str">
        <v>Expense</v>
      </c>
      <c r="E32" s="40" t="str">
        <v>Personal Care</v>
      </c>
      <c r="F32" s="59">
        <v>15500</v>
      </c>
      <c r="G32" s="40" t="str">
        <v>Skincare and Haircare</v>
      </c>
    </row>
    <row r="33" spans="2:7" x14ac:dyDescent="0.25">
      <c r="B33" s="39">
        <v>45711</v>
      </c>
      <c r="C33" s="40" t="str">
        <v>February</v>
      </c>
      <c r="D33" s="40" t="str">
        <v>Expense</v>
      </c>
      <c r="E33" s="40" t="str">
        <v>Insurance</v>
      </c>
      <c r="F33" s="59">
        <v>18000</v>
      </c>
      <c r="G33" s="40" t="str">
        <v>Health Insurance Premium</v>
      </c>
    </row>
    <row r="34" spans="2:7" x14ac:dyDescent="0.25">
      <c r="B34" s="39">
        <v>45712</v>
      </c>
      <c r="C34" s="40" t="str">
        <v>February</v>
      </c>
      <c r="D34" s="40" t="str">
        <v>Expense</v>
      </c>
      <c r="E34" s="40" t="str">
        <v>Ramazan Preparation</v>
      </c>
      <c r="F34" s="59">
        <v>10500</v>
      </c>
      <c r="G34" s="40" t="str">
        <v>Bulk Grocery Preps</v>
      </c>
    </row>
    <row r="35" spans="2:7" x14ac:dyDescent="0.25">
      <c r="B35" s="39">
        <v>45713</v>
      </c>
      <c r="C35" s="40" t="str">
        <v>February</v>
      </c>
      <c r="D35" s="40" t="str">
        <v>Expense</v>
      </c>
      <c r="E35" s="40" t="str">
        <v>House Help Workers</v>
      </c>
      <c r="F35" s="59">
        <v>3500</v>
      </c>
      <c r="G35" s="40" t="str">
        <v>Car Cleaner</v>
      </c>
    </row>
    <row r="36" spans="2:7" x14ac:dyDescent="0.25">
      <c r="B36" s="39">
        <v>45714</v>
      </c>
      <c r="C36" s="40" t="str">
        <v>February</v>
      </c>
      <c r="D36" s="40" t="str">
        <v>Income</v>
      </c>
      <c r="E36" s="40" t="str">
        <v>Car Rent</v>
      </c>
      <c r="F36" s="59">
        <v>25000</v>
      </c>
      <c r="G36" s="40" t="str">
        <v>Tenant - Car Rental</v>
      </c>
    </row>
    <row r="37" spans="2:7" x14ac:dyDescent="0.25">
      <c r="B37" s="39">
        <v>45715</v>
      </c>
      <c r="C37" s="40" t="str">
        <v>February</v>
      </c>
      <c r="D37" s="40" t="str">
        <v>Expense</v>
      </c>
      <c r="E37" s="40" t="str">
        <v>Utilities</v>
      </c>
      <c r="F37" s="59">
        <v>6800</v>
      </c>
      <c r="G37" s="40" t="str">
        <v>Phone Bill</v>
      </c>
    </row>
    <row r="38" spans="2:7" x14ac:dyDescent="0.25">
      <c r="B38" s="39">
        <v>45716</v>
      </c>
      <c r="C38" s="40" t="str">
        <v>February</v>
      </c>
      <c r="D38" s="40" t="str">
        <v>Expense</v>
      </c>
      <c r="E38" s="40" t="str">
        <v>Miscellaneous Expenses</v>
      </c>
      <c r="F38" s="59">
        <v>8000</v>
      </c>
      <c r="G38" s="40" t="str">
        <v>Unexpected Small Purchases</v>
      </c>
    </row>
    <row r="39" spans="2:7" x14ac:dyDescent="0.25">
      <c r="B39" s="113"/>
      <c r="C39" s="114"/>
      <c r="D39" s="114"/>
      <c r="E39" s="114"/>
      <c r="F39" s="115"/>
      <c r="G39" s="114"/>
    </row>
    <row r="40" spans="2:7" x14ac:dyDescent="0.25">
      <c r="B40" s="113"/>
      <c r="C40" s="114"/>
      <c r="D40" s="114"/>
      <c r="E40" s="114"/>
      <c r="F40" s="115"/>
      <c r="G40" s="114"/>
    </row>
    <row r="41" spans="2:7" x14ac:dyDescent="0.25">
      <c r="B41" s="106"/>
    </row>
    <row r="43" spans="2:7" ht="30" x14ac:dyDescent="0.25">
      <c r="B43" s="30" t="s">
        <v>91</v>
      </c>
      <c r="C43" s="31"/>
      <c r="D43" s="35" t="s">
        <v>92</v>
      </c>
      <c r="E43" s="35" t="s">
        <v>93</v>
      </c>
      <c r="F43" s="36" t="s">
        <v>94</v>
      </c>
      <c r="G43" s="16"/>
    </row>
    <row r="44" spans="2:7" x14ac:dyDescent="0.25">
      <c r="B44" s="17" t="s">
        <v>96</v>
      </c>
      <c r="C44" s="29"/>
      <c r="D44" s="64">
        <f>SUMIFS($Q$16:$Q$31,$Q$16:$Q$31,"&gt;10000")</f>
        <v>274700</v>
      </c>
      <c r="E44" s="64">
        <f>AVERAGEIFS($Q$16:$Q$31,$Q$16:$Q$31,"&gt;10000")</f>
        <v>24972.727272727272</v>
      </c>
      <c r="F44" s="37">
        <f>COUNTIFS($Q$16:$Q$31,"&gt;10000")</f>
        <v>11</v>
      </c>
    </row>
    <row r="45" spans="2:7" x14ac:dyDescent="0.25">
      <c r="B45" s="17" t="s">
        <v>95</v>
      </c>
      <c r="C45" s="29"/>
      <c r="D45" s="64">
        <f>SUMIFS($Q$16:$Q$31,$Q$16:$Q$31,"&lt;=10000",$Q$16:$Q$31,"&gt;=6000")</f>
        <v>31700</v>
      </c>
      <c r="E45" s="64">
        <f>AVERAGEIFS($Q$16:$Q$31,$Q$16:$Q$31,"&lt;=10000",$Q$16:$Q$31,"&gt;=6000")</f>
        <v>7925</v>
      </c>
      <c r="F45" s="37">
        <f>COUNTIFS($Q$16:$Q$31,"&lt;=10000",$Q$16:$Q$31,"&gt;=6000")</f>
        <v>4</v>
      </c>
    </row>
    <row r="46" spans="2:7" x14ac:dyDescent="0.25">
      <c r="B46" s="219" t="s">
        <v>97</v>
      </c>
      <c r="C46" s="220"/>
      <c r="D46" s="65">
        <f>SUMIFS($Q$16:$Q$31,$Q$16:$Q$31,"&lt;6000")</f>
        <v>3800</v>
      </c>
      <c r="E46" s="65">
        <f>AVERAGEIFS($Q$16:$Q$31,$Q$16:$Q$31,"&lt;6000")</f>
        <v>3800</v>
      </c>
      <c r="F46" s="38">
        <f>COUNTIFS($Q$16:$Q$31,"&lt;6000")</f>
        <v>1</v>
      </c>
    </row>
    <row r="51" spans="8:8" ht="36" customHeight="1" x14ac:dyDescent="0.25">
      <c r="H51" s="16"/>
    </row>
    <row r="52" spans="8:8" ht="23.25" customHeight="1" x14ac:dyDescent="0.25"/>
    <row r="53" spans="8:8" ht="23.25" customHeight="1" x14ac:dyDescent="0.25"/>
    <row r="54" spans="8:8" ht="23.25" customHeight="1" x14ac:dyDescent="0.25"/>
    <row r="71" s="19" customFormat="1" x14ac:dyDescent="0.25"/>
  </sheetData>
  <mergeCells count="26">
    <mergeCell ref="Q6:R6"/>
    <mergeCell ref="A1:XFD1"/>
    <mergeCell ref="C3:E3"/>
    <mergeCell ref="H3:I3"/>
    <mergeCell ref="J3:K3"/>
    <mergeCell ref="Q4:R4"/>
    <mergeCell ref="B7:C7"/>
    <mergeCell ref="Q7:R8"/>
    <mergeCell ref="B8:C8"/>
    <mergeCell ref="D8:E8"/>
    <mergeCell ref="B9:C9"/>
    <mergeCell ref="D9:E9"/>
    <mergeCell ref="Q9:R9"/>
    <mergeCell ref="D10:E10"/>
    <mergeCell ref="I13:N13"/>
    <mergeCell ref="J14:N14"/>
    <mergeCell ref="P14:P15"/>
    <mergeCell ref="Q14:Q15"/>
    <mergeCell ref="B46:C46"/>
    <mergeCell ref="S14:S15"/>
    <mergeCell ref="J15:N15"/>
    <mergeCell ref="J16:N16"/>
    <mergeCell ref="J17:N17"/>
    <mergeCell ref="J18:N18"/>
    <mergeCell ref="J19:N19"/>
    <mergeCell ref="R14:R15"/>
  </mergeCells>
  <conditionalFormatting sqref="H5:N10">
    <cfRule type="expression" dxfId="3" priority="3">
      <formula>MONTH(H5)&lt;&gt;MONTH($B$14)</formula>
    </cfRule>
  </conditionalFormatting>
  <conditionalFormatting sqref="Q16:Q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{DAD1DB42-F49D-4164-8F2D-E6A52F256EC6}</x14:id>
        </ext>
      </extLst>
    </cfRule>
  </conditionalFormatting>
  <conditionalFormatting sqref="I15:N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{6FDC2643-702B-4C8F-8104-B793A13FDDF7}</x14:id>
        </ext>
      </extLst>
    </cfRule>
  </conditionalFormatting>
  <conditionalFormatting sqref="B14:G40">
    <cfRule type="expression" dxfId="2" priority="4">
      <formula>$B14=$P$7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D1DB42-F49D-4164-8F2D-E6A52F256E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Q16:Q31</xm:sqref>
        </x14:conditionalFormatting>
        <x14:conditionalFormatting xmlns:xm="http://schemas.microsoft.com/office/excel/2006/main">
          <x14:cfRule type="dataBar" id="{6FDC2643-702B-4C8F-8104-B793A13FDDF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I15:N19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D5FAF-E6E6-4392-A172-A544B8A3D52E}">
  <sheetPr codeName="Sheet5"/>
  <dimension ref="A1:W64"/>
  <sheetViews>
    <sheetView showGridLines="0" zoomScale="50" zoomScaleNormal="50" workbookViewId="0">
      <selection activeCell="K7" sqref="K7"/>
    </sheetView>
  </sheetViews>
  <sheetFormatPr defaultRowHeight="15" x14ac:dyDescent="0.25"/>
  <cols>
    <col min="1" max="1" width="6.28515625" customWidth="1"/>
    <col min="2" max="2" width="13.5703125" customWidth="1"/>
    <col min="3" max="3" width="9.85546875" bestFit="1" customWidth="1"/>
    <col min="4" max="4" width="15" customWidth="1"/>
    <col min="5" max="5" width="30" bestFit="1" customWidth="1"/>
    <col min="6" max="6" width="15.42578125" bestFit="1" customWidth="1"/>
    <col min="7" max="7" width="31.28515625" bestFit="1" customWidth="1"/>
    <col min="8" max="8" width="10.5703125" customWidth="1"/>
    <col min="9" max="12" width="8.85546875" customWidth="1"/>
    <col min="13" max="13" width="7.42578125" customWidth="1"/>
    <col min="14" max="14" width="7.140625" customWidth="1"/>
    <col min="15" max="15" width="9.85546875" customWidth="1"/>
    <col min="16" max="16" width="30.42578125" bestFit="1" customWidth="1"/>
    <col min="17" max="17" width="15" customWidth="1"/>
    <col min="18" max="18" width="16" customWidth="1"/>
    <col min="19" max="19" width="14.85546875" customWidth="1"/>
    <col min="20" max="20" width="23.140625" bestFit="1" customWidth="1"/>
    <col min="21" max="21" width="7.140625" bestFit="1" customWidth="1"/>
    <col min="22" max="22" width="12.28515625" bestFit="1" customWidth="1"/>
    <col min="23" max="23" width="5.7109375" hidden="1" customWidth="1"/>
    <col min="29" max="29" width="13.42578125" customWidth="1"/>
  </cols>
  <sheetData>
    <row r="1" spans="1:23" s="229" customFormat="1" ht="55.5" customHeight="1" x14ac:dyDescent="0.25">
      <c r="A1" s="229" t="s">
        <v>111</v>
      </c>
    </row>
    <row r="2" spans="1:23" s="21" customFormat="1" ht="32.25" customHeight="1" x14ac:dyDescent="0.25"/>
    <row r="3" spans="1:23" s="20" customFormat="1" ht="39.75" x14ac:dyDescent="0.6">
      <c r="C3" s="206" t="str">
        <f>CONCATENATE(H3," ","'25")</f>
        <v>March '25</v>
      </c>
      <c r="D3" s="207"/>
      <c r="E3" s="207"/>
      <c r="H3" s="210" t="str">
        <f>TEXT(B14,"mmmm")</f>
        <v>March</v>
      </c>
      <c r="I3" s="210"/>
      <c r="J3" s="211">
        <f>YEAR(B14)</f>
        <v>2025</v>
      </c>
      <c r="K3" s="211"/>
      <c r="L3"/>
      <c r="M3"/>
      <c r="N3"/>
    </row>
    <row r="4" spans="1:23" ht="15.75" x14ac:dyDescent="0.25">
      <c r="H4" s="26" t="s">
        <v>99</v>
      </c>
      <c r="I4" s="27" t="s">
        <v>100</v>
      </c>
      <c r="J4" s="27" t="s">
        <v>101</v>
      </c>
      <c r="K4" s="27" t="s">
        <v>102</v>
      </c>
      <c r="L4" s="27" t="s">
        <v>103</v>
      </c>
      <c r="M4" s="27" t="s">
        <v>104</v>
      </c>
      <c r="N4" s="28" t="s">
        <v>105</v>
      </c>
      <c r="P4" s="26" t="s">
        <v>0</v>
      </c>
      <c r="Q4" s="200" t="s">
        <v>112</v>
      </c>
      <c r="R4" s="201"/>
    </row>
    <row r="5" spans="1:23" ht="15.75" x14ac:dyDescent="0.25">
      <c r="H5" s="7" cm="1">
        <f t="array" ref="H5:N10">_xlfn.SEQUENCE(6,7,DATEVALUE(H3&amp;J3)-WEEKDAY(H3&amp;J3)+1)</f>
        <v>45711</v>
      </c>
      <c r="I5" s="8">
        <v>45712</v>
      </c>
      <c r="J5" s="8">
        <v>45713</v>
      </c>
      <c r="K5" s="8">
        <v>45714</v>
      </c>
      <c r="L5" s="8">
        <v>45715</v>
      </c>
      <c r="M5" s="8">
        <v>45716</v>
      </c>
      <c r="N5" s="9">
        <v>45717</v>
      </c>
      <c r="P5" s="99"/>
      <c r="Q5" s="101"/>
      <c r="R5" s="102"/>
    </row>
    <row r="6" spans="1:23" ht="15.75" x14ac:dyDescent="0.25">
      <c r="H6" s="7">
        <v>45718</v>
      </c>
      <c r="I6" s="8">
        <v>45719</v>
      </c>
      <c r="J6" s="8">
        <v>45720</v>
      </c>
      <c r="K6" s="8">
        <v>45721</v>
      </c>
      <c r="L6" s="8">
        <v>45722</v>
      </c>
      <c r="M6" s="8">
        <v>45723</v>
      </c>
      <c r="N6" s="9">
        <v>45724</v>
      </c>
      <c r="P6" s="99"/>
      <c r="Q6" s="202" t="str" cm="1">
        <f t="array" ref="Q6">IFERROR(IF(_xlfn.TEXTJOIN(", ",TRUE,_xlfn._xlws.FILTER($D$14:$D$40,$B$14:$B$40=$P$7))="Income","Income from","Expenses on"),"")</f>
        <v>Expenses on</v>
      </c>
      <c r="R6" s="203"/>
    </row>
    <row r="7" spans="1:23" ht="26.25" customHeight="1" x14ac:dyDescent="0.4">
      <c r="B7" s="192" t="s">
        <v>81</v>
      </c>
      <c r="C7" s="193"/>
      <c r="D7" s="12"/>
      <c r="E7" s="13"/>
      <c r="H7" s="7">
        <v>45725</v>
      </c>
      <c r="I7" s="8">
        <v>45726</v>
      </c>
      <c r="J7" s="8">
        <v>45727</v>
      </c>
      <c r="K7" s="8">
        <v>45728</v>
      </c>
      <c r="L7" s="8">
        <v>45729</v>
      </c>
      <c r="M7" s="8">
        <v>45730</v>
      </c>
      <c r="N7" s="9">
        <v>45731</v>
      </c>
      <c r="P7" s="107">
        <v>45728</v>
      </c>
      <c r="Q7" s="208" t="str" cm="1">
        <f t="array" ref="Q7">IFERROR(_xlfn.TEXTJOIN(", ",TRUE,_xlfn._xlws.FILTER(TRIM($G$14:$G$40),$B$14:$B$40=$P$7)),"No Activity")</f>
        <v>Medicines</v>
      </c>
      <c r="R7" s="209"/>
    </row>
    <row r="8" spans="1:23" ht="15.75" x14ac:dyDescent="0.25">
      <c r="B8" s="198" t="s">
        <v>78</v>
      </c>
      <c r="C8" s="199"/>
      <c r="D8" s="196">
        <f>SUMIF($D$14:$D$40,"Income",$F$14:$F$40)</f>
        <v>535000</v>
      </c>
      <c r="E8" s="197"/>
      <c r="H8" s="7">
        <v>45732</v>
      </c>
      <c r="I8" s="8">
        <v>45733</v>
      </c>
      <c r="J8" s="8">
        <v>45734</v>
      </c>
      <c r="K8" s="8">
        <v>45735</v>
      </c>
      <c r="L8" s="8">
        <v>45736</v>
      </c>
      <c r="M8" s="8">
        <v>45737</v>
      </c>
      <c r="N8" s="9">
        <v>45738</v>
      </c>
      <c r="P8" s="105"/>
      <c r="Q8" s="208"/>
      <c r="R8" s="209"/>
    </row>
    <row r="9" spans="1:23" ht="15.75" x14ac:dyDescent="0.25">
      <c r="B9" s="198" t="s">
        <v>79</v>
      </c>
      <c r="C9" s="199"/>
      <c r="D9" s="196">
        <f>SUMIF($D$14:$D$40,"Expense",$F$14:$F$40)</f>
        <v>438400</v>
      </c>
      <c r="E9" s="197"/>
      <c r="H9" s="7">
        <v>45739</v>
      </c>
      <c r="I9" s="8">
        <v>45740</v>
      </c>
      <c r="J9" s="8">
        <v>45741</v>
      </c>
      <c r="K9" s="8">
        <v>45742</v>
      </c>
      <c r="L9" s="8">
        <v>45743</v>
      </c>
      <c r="M9" s="8">
        <v>45744</v>
      </c>
      <c r="N9" s="9">
        <v>45745</v>
      </c>
      <c r="P9" s="99"/>
      <c r="Q9" s="204">
        <f>IF(SUMIF($B$14:$B$40,$P$7,F14:F40)=0,"",SUMIF($B$14:$B$40,$P$7,F14:F40))</f>
        <v>10200</v>
      </c>
      <c r="R9" s="205"/>
    </row>
    <row r="10" spans="1:23" ht="15.75" x14ac:dyDescent="0.25">
      <c r="B10" s="49" t="s">
        <v>80</v>
      </c>
      <c r="C10" s="50"/>
      <c r="D10" s="194">
        <f>D8-D9</f>
        <v>96600</v>
      </c>
      <c r="E10" s="195"/>
      <c r="H10" s="122">
        <v>45746</v>
      </c>
      <c r="I10" s="123">
        <v>45747</v>
      </c>
      <c r="J10" s="123">
        <v>45748</v>
      </c>
      <c r="K10" s="123">
        <v>45749</v>
      </c>
      <c r="L10" s="123">
        <v>45750</v>
      </c>
      <c r="M10" s="123">
        <v>45751</v>
      </c>
      <c r="N10" s="124">
        <v>45752</v>
      </c>
      <c r="P10" s="100"/>
      <c r="Q10" s="103"/>
      <c r="R10" s="104"/>
    </row>
    <row r="11" spans="1:23" ht="15.75" x14ac:dyDescent="0.25">
      <c r="H11" s="25"/>
      <c r="I11" s="25"/>
      <c r="J11" s="25"/>
      <c r="K11" s="25"/>
      <c r="L11" s="25"/>
      <c r="M11" s="25"/>
      <c r="N11" s="25"/>
    </row>
    <row r="13" spans="1:23" ht="22.5" x14ac:dyDescent="0.3">
      <c r="B13" s="55" t="s">
        <v>0</v>
      </c>
      <c r="C13" s="55" t="s">
        <v>77</v>
      </c>
      <c r="D13" s="55" t="s">
        <v>1</v>
      </c>
      <c r="E13" s="55" t="s">
        <v>2</v>
      </c>
      <c r="F13" s="55" t="s">
        <v>3</v>
      </c>
      <c r="G13" s="55" t="s">
        <v>4</v>
      </c>
      <c r="I13" s="212" t="s">
        <v>82</v>
      </c>
      <c r="J13" s="213"/>
      <c r="K13" s="213"/>
      <c r="L13" s="213"/>
      <c r="M13" s="213"/>
      <c r="N13" s="214"/>
      <c r="P13" s="118" t="s">
        <v>106</v>
      </c>
      <c r="Q13" s="119"/>
      <c r="R13" s="119"/>
      <c r="S13" s="120"/>
      <c r="W13" s="18" t="s">
        <v>94</v>
      </c>
    </row>
    <row r="14" spans="1:23" ht="15" customHeight="1" x14ac:dyDescent="0.25">
      <c r="B14" s="108" cm="1">
        <f t="array" ref="B14:G41">_xlfn._xlws.FILTER('Raw Data'!$A$1:$F$81,'Raw Data'!$B$1:$B$81="March")</f>
        <v>45717</v>
      </c>
      <c r="C14" s="109" t="str">
        <v>March</v>
      </c>
      <c r="D14" s="109" t="str">
        <v>Income</v>
      </c>
      <c r="E14" s="109" t="str">
        <v>Salary</v>
      </c>
      <c r="F14" s="110">
        <v>250000</v>
      </c>
      <c r="G14" s="109" t="str">
        <v>Salary from office</v>
      </c>
      <c r="I14" s="23" t="s">
        <v>87</v>
      </c>
      <c r="J14" s="227" t="s">
        <v>88</v>
      </c>
      <c r="K14" s="227"/>
      <c r="L14" s="227"/>
      <c r="M14" s="227"/>
      <c r="N14" s="228"/>
      <c r="P14" s="221" t="s">
        <v>108</v>
      </c>
      <c r="Q14" s="215" t="s">
        <v>89</v>
      </c>
      <c r="R14" s="215" t="s">
        <v>107</v>
      </c>
      <c r="S14" s="217" t="s">
        <v>90</v>
      </c>
      <c r="W14" s="24"/>
    </row>
    <row r="15" spans="1:23" ht="21" customHeight="1" x14ac:dyDescent="0.25">
      <c r="B15" s="108">
        <v>45718</v>
      </c>
      <c r="C15" s="109" t="str">
        <v>March</v>
      </c>
      <c r="D15" s="109" t="str">
        <v>Expense</v>
      </c>
      <c r="E15" s="109" t="str">
        <v>Groceries</v>
      </c>
      <c r="F15" s="110">
        <v>30000</v>
      </c>
      <c r="G15" s="109" t="str">
        <v>Ramazan groceries bulk</v>
      </c>
      <c r="I15" s="47" t="str" cm="1">
        <f t="array" ref="I15:I19">_xlfn.UNIQUE(_xlfn._xlws.FILTER(Category,Type="Income"))</f>
        <v>Salary</v>
      </c>
      <c r="J15" s="223">
        <f>SUMIF($E$13:$E$41,I15,$F$13:$F$41)</f>
        <v>250000</v>
      </c>
      <c r="K15" s="223"/>
      <c r="L15" s="223"/>
      <c r="M15" s="223"/>
      <c r="N15" s="224"/>
      <c r="P15" s="222"/>
      <c r="Q15" s="216"/>
      <c r="R15" s="216"/>
      <c r="S15" s="218"/>
      <c r="W15" s="10">
        <f>COUNTIFS($Q$16:$Q$31,"&gt;10000")</f>
        <v>14</v>
      </c>
    </row>
    <row r="16" spans="1:23" x14ac:dyDescent="0.25">
      <c r="B16" s="108">
        <v>45719</v>
      </c>
      <c r="C16" s="109" t="str">
        <v>March</v>
      </c>
      <c r="D16" s="109" t="str">
        <v>Expense</v>
      </c>
      <c r="E16" s="109" t="str">
        <v>Fruits &amp; Vegetables</v>
      </c>
      <c r="F16" s="110">
        <v>9000</v>
      </c>
      <c r="G16" s="109" t="str">
        <v>Fruits and Vegetables</v>
      </c>
      <c r="I16" s="47" t="str">
        <v>Freelancing</v>
      </c>
      <c r="J16" s="223">
        <f>SUMIF($E$13:$E$41,I16,$F$13:$F$41)</f>
        <v>140000</v>
      </c>
      <c r="K16" s="223"/>
      <c r="L16" s="223"/>
      <c r="M16" s="223"/>
      <c r="N16" s="224"/>
      <c r="P16" s="51" t="str" cm="1">
        <f t="array" ref="P16:P32">_xlfn.UNIQUE(_xlfn._xlws.FILTER($E$14:$E$40,$D$14:$D$40="Expense"))</f>
        <v>Groceries</v>
      </c>
      <c r="Q16" s="62">
        <f>SUMIF($E$13:$E$41,$P16,$F$13:$F$41)</f>
        <v>50500</v>
      </c>
      <c r="R16" s="62">
        <f t="shared" ref="R16:R32" si="0">AVERAGEIF($E$13:$E$41,$P16,$F$13:$F$41)</f>
        <v>25250</v>
      </c>
      <c r="S16" s="52">
        <f t="shared" ref="S16:S32" si="1">COUNTIF($E$13:$E$41,$P16)</f>
        <v>2</v>
      </c>
      <c r="W16" s="10">
        <f>COUNTIFS($Q$16:$Q$31,"&lt;=10000",$Q$16:$Q$31,"&gt;=6000")</f>
        <v>1</v>
      </c>
    </row>
    <row r="17" spans="2:23" x14ac:dyDescent="0.25">
      <c r="B17" s="108">
        <v>45720</v>
      </c>
      <c r="C17" s="109" t="str">
        <v>March</v>
      </c>
      <c r="D17" s="109" t="str">
        <v>Expense</v>
      </c>
      <c r="E17" s="109" t="str">
        <v>House Help Workers</v>
      </c>
      <c r="F17" s="110">
        <v>18000</v>
      </c>
      <c r="G17" s="109" t="str">
        <v>House Maid</v>
      </c>
      <c r="I17" s="47" t="str">
        <v>Apartment Rent</v>
      </c>
      <c r="J17" s="223">
        <f>SUMIF($E$13:$E$41,I17,$F$13:$F$41)</f>
        <v>75000</v>
      </c>
      <c r="K17" s="223"/>
      <c r="L17" s="223"/>
      <c r="M17" s="223"/>
      <c r="N17" s="224"/>
      <c r="P17" s="51" t="str">
        <v>Fruits &amp; Vegetables</v>
      </c>
      <c r="Q17" s="62">
        <f t="shared" ref="Q17:Q32" si="2">SUMIF($E$13:$E$41,$P17,$F$13:$F$41)</f>
        <v>9000</v>
      </c>
      <c r="R17" s="62">
        <f t="shared" si="0"/>
        <v>9000</v>
      </c>
      <c r="S17" s="52">
        <f t="shared" si="1"/>
        <v>1</v>
      </c>
      <c r="W17" s="6">
        <f>COUNTIFS($Q$16:$Q$31,"&lt;6000")</f>
        <v>1</v>
      </c>
    </row>
    <row r="18" spans="2:23" x14ac:dyDescent="0.25">
      <c r="B18" s="108">
        <v>45721</v>
      </c>
      <c r="C18" s="109" t="str">
        <v>March</v>
      </c>
      <c r="D18" s="109" t="str">
        <v>Expense</v>
      </c>
      <c r="E18" s="109" t="str">
        <v>House Help Workers</v>
      </c>
      <c r="F18" s="110">
        <v>4500</v>
      </c>
      <c r="G18" s="109" t="str">
        <v>Garbage Picker</v>
      </c>
      <c r="I18" s="47" t="str">
        <v>Business</v>
      </c>
      <c r="J18" s="223">
        <f>SUMIF($E$13:$E$41,I18,$F$13:$F$41)</f>
        <v>105000</v>
      </c>
      <c r="K18" s="223"/>
      <c r="L18" s="223"/>
      <c r="M18" s="223"/>
      <c r="N18" s="224"/>
      <c r="P18" s="51" t="str">
        <v>House Help Workers</v>
      </c>
      <c r="Q18" s="62">
        <f t="shared" si="2"/>
        <v>26000</v>
      </c>
      <c r="R18" s="62">
        <f t="shared" si="0"/>
        <v>8666.6666666666661</v>
      </c>
      <c r="S18" s="52">
        <f t="shared" si="1"/>
        <v>3</v>
      </c>
    </row>
    <row r="19" spans="2:23" x14ac:dyDescent="0.25">
      <c r="B19" s="108">
        <v>45722</v>
      </c>
      <c r="C19" s="109" t="str">
        <v>March</v>
      </c>
      <c r="D19" s="109" t="str">
        <v>Expense</v>
      </c>
      <c r="E19" s="109" t="str">
        <v>Milk</v>
      </c>
      <c r="F19" s="110">
        <v>4500</v>
      </c>
      <c r="G19" s="109" t="str">
        <v>2 kg milk daily stock</v>
      </c>
      <c r="I19" s="48" t="str">
        <v>Car Rent</v>
      </c>
      <c r="J19" s="225">
        <f>SUMIF($E$13:$E$41,I19,$F$13:$F$41)</f>
        <v>25000</v>
      </c>
      <c r="K19" s="225"/>
      <c r="L19" s="225"/>
      <c r="M19" s="225"/>
      <c r="N19" s="226"/>
      <c r="P19" s="51" t="str">
        <v>Milk</v>
      </c>
      <c r="Q19" s="62">
        <f t="shared" si="2"/>
        <v>4500</v>
      </c>
      <c r="R19" s="62">
        <f t="shared" si="0"/>
        <v>4500</v>
      </c>
      <c r="S19" s="52">
        <f t="shared" si="1"/>
        <v>1</v>
      </c>
    </row>
    <row r="20" spans="2:23" x14ac:dyDescent="0.25">
      <c r="B20" s="108">
        <v>45723</v>
      </c>
      <c r="C20" s="109" t="str">
        <v>March</v>
      </c>
      <c r="D20" s="109" t="str">
        <v>Income</v>
      </c>
      <c r="E20" s="109" t="str">
        <v>Freelancing</v>
      </c>
      <c r="F20" s="110">
        <v>80000</v>
      </c>
      <c r="G20" s="109" t="str">
        <v>Fiverr Project</v>
      </c>
      <c r="P20" s="51" t="str">
        <v>Utilities</v>
      </c>
      <c r="Q20" s="62">
        <f>SUMIF($E$13:$E$41,$P20,$F$13:$F$41)</f>
        <v>19700</v>
      </c>
      <c r="R20" s="62">
        <f t="shared" si="0"/>
        <v>9850</v>
      </c>
      <c r="S20" s="52">
        <f t="shared" si="1"/>
        <v>2</v>
      </c>
    </row>
    <row r="21" spans="2:23" x14ac:dyDescent="0.25">
      <c r="B21" s="108">
        <v>45724</v>
      </c>
      <c r="C21" s="109" t="str">
        <v>March</v>
      </c>
      <c r="D21" s="109" t="str">
        <v>Expense</v>
      </c>
      <c r="E21" s="109" t="str">
        <v>Utilities</v>
      </c>
      <c r="F21" s="110">
        <v>13200</v>
      </c>
      <c r="G21" s="109" t="str">
        <v>Electricity Bill</v>
      </c>
      <c r="P21" s="51" t="str">
        <v>Transportation</v>
      </c>
      <c r="Q21" s="62">
        <f t="shared" si="2"/>
        <v>22000</v>
      </c>
      <c r="R21" s="62">
        <f t="shared" si="0"/>
        <v>22000</v>
      </c>
      <c r="S21" s="52">
        <f t="shared" si="1"/>
        <v>1</v>
      </c>
    </row>
    <row r="22" spans="2:23" x14ac:dyDescent="0.25">
      <c r="B22" s="108">
        <v>45725</v>
      </c>
      <c r="C22" s="109" t="str">
        <v>March</v>
      </c>
      <c r="D22" s="109" t="str">
        <v>Expense</v>
      </c>
      <c r="E22" s="109" t="str">
        <v>Transportation</v>
      </c>
      <c r="F22" s="110">
        <v>22000</v>
      </c>
      <c r="G22" s="109" t="str">
        <v>Car 1 &amp; 2 Petrol</v>
      </c>
      <c r="P22" s="51" t="str">
        <v>Health</v>
      </c>
      <c r="Q22" s="62">
        <f t="shared" si="2"/>
        <v>10200</v>
      </c>
      <c r="R22" s="62">
        <f t="shared" si="0"/>
        <v>10200</v>
      </c>
      <c r="S22" s="52">
        <f t="shared" si="1"/>
        <v>1</v>
      </c>
    </row>
    <row r="23" spans="2:23" x14ac:dyDescent="0.25">
      <c r="B23" s="108">
        <v>45726</v>
      </c>
      <c r="C23" s="109" t="str">
        <v>March</v>
      </c>
      <c r="D23" s="109" t="str">
        <v>Income</v>
      </c>
      <c r="E23" s="109" t="str">
        <v>Apartment Rent</v>
      </c>
      <c r="F23" s="110">
        <v>75000</v>
      </c>
      <c r="G23" s="109" t="str">
        <v>Tenant - Apartment 3A</v>
      </c>
      <c r="P23" s="51" t="str">
        <v>Chicken &amp; Meat</v>
      </c>
      <c r="Q23" s="62">
        <f t="shared" si="2"/>
        <v>11500</v>
      </c>
      <c r="R23" s="62">
        <f t="shared" si="0"/>
        <v>11500</v>
      </c>
      <c r="S23" s="52">
        <f t="shared" si="1"/>
        <v>1</v>
      </c>
    </row>
    <row r="24" spans="2:23" x14ac:dyDescent="0.25">
      <c r="B24" s="108">
        <v>45728</v>
      </c>
      <c r="C24" s="109" t="str">
        <v>March</v>
      </c>
      <c r="D24" s="109" t="str">
        <v>Expense</v>
      </c>
      <c r="E24" s="109" t="str">
        <v>Health</v>
      </c>
      <c r="F24" s="110">
        <v>10200</v>
      </c>
      <c r="G24" s="109" t="str">
        <v>Medicines</v>
      </c>
      <c r="P24" s="51" t="str">
        <v>Education</v>
      </c>
      <c r="Q24" s="62">
        <f t="shared" si="2"/>
        <v>35000</v>
      </c>
      <c r="R24" s="62">
        <f t="shared" si="0"/>
        <v>35000</v>
      </c>
      <c r="S24" s="52">
        <f t="shared" si="1"/>
        <v>1</v>
      </c>
    </row>
    <row r="25" spans="2:23" x14ac:dyDescent="0.25">
      <c r="B25" s="108">
        <v>45729</v>
      </c>
      <c r="C25" s="109" t="str">
        <v>March</v>
      </c>
      <c r="D25" s="109" t="str">
        <v>Expense</v>
      </c>
      <c r="E25" s="109" t="str">
        <v>Chicken &amp; Meat</v>
      </c>
      <c r="F25" s="110">
        <v>11500</v>
      </c>
      <c r="G25" s="109" t="str">
        <v>Chicken, Beef &amp; Lamb</v>
      </c>
      <c r="P25" s="51" t="str">
        <v>Clothes &amp; Shoes Shopping</v>
      </c>
      <c r="Q25" s="62">
        <f t="shared" si="2"/>
        <v>45000</v>
      </c>
      <c r="R25" s="62">
        <f t="shared" si="0"/>
        <v>45000</v>
      </c>
      <c r="S25" s="52">
        <f t="shared" si="1"/>
        <v>1</v>
      </c>
    </row>
    <row r="26" spans="2:23" x14ac:dyDescent="0.25">
      <c r="B26" s="108">
        <v>45730</v>
      </c>
      <c r="C26" s="109" t="str">
        <v>March</v>
      </c>
      <c r="D26" s="109" t="str">
        <v>Expense</v>
      </c>
      <c r="E26" s="109" t="str">
        <v>Education</v>
      </c>
      <c r="F26" s="110">
        <v>35000</v>
      </c>
      <c r="G26" s="109" t="str">
        <v>School Fee</v>
      </c>
      <c r="P26" s="51" t="str">
        <v>Entertainment</v>
      </c>
      <c r="Q26" s="62">
        <f t="shared" si="2"/>
        <v>30000</v>
      </c>
      <c r="R26" s="62">
        <f t="shared" si="0"/>
        <v>30000</v>
      </c>
      <c r="S26" s="52">
        <f t="shared" si="1"/>
        <v>1</v>
      </c>
    </row>
    <row r="27" spans="2:23" x14ac:dyDescent="0.25">
      <c r="B27" s="108">
        <v>45731</v>
      </c>
      <c r="C27" s="109" t="str">
        <v>March</v>
      </c>
      <c r="D27" s="109" t="str">
        <v>Expense</v>
      </c>
      <c r="E27" s="109" t="str">
        <v>Clothes &amp; Shoes Shopping</v>
      </c>
      <c r="F27" s="110">
        <v>45000</v>
      </c>
      <c r="G27" s="109" t="str">
        <v>Eid Shopping Early</v>
      </c>
      <c r="P27" s="51" t="str">
        <v>Gifts and Charity</v>
      </c>
      <c r="Q27" s="62">
        <f t="shared" si="2"/>
        <v>35000</v>
      </c>
      <c r="R27" s="62">
        <f t="shared" si="0"/>
        <v>35000</v>
      </c>
      <c r="S27" s="52">
        <f t="shared" si="1"/>
        <v>1</v>
      </c>
    </row>
    <row r="28" spans="2:23" x14ac:dyDescent="0.25">
      <c r="B28" s="108">
        <v>45732</v>
      </c>
      <c r="C28" s="109" t="str">
        <v>March</v>
      </c>
      <c r="D28" s="109" t="str">
        <v>Expense</v>
      </c>
      <c r="E28" s="109" t="str">
        <v>Entertainment</v>
      </c>
      <c r="F28" s="110">
        <v>30000</v>
      </c>
      <c r="G28" s="109" t="str">
        <v>Outings, Cinema, Netflix</v>
      </c>
      <c r="P28" s="51" t="str">
        <v>Ramazan Preparation</v>
      </c>
      <c r="Q28" s="62">
        <f t="shared" si="2"/>
        <v>43500</v>
      </c>
      <c r="R28" s="62">
        <f t="shared" si="0"/>
        <v>21750</v>
      </c>
      <c r="S28" s="52">
        <f t="shared" si="1"/>
        <v>2</v>
      </c>
    </row>
    <row r="29" spans="2:23" x14ac:dyDescent="0.25">
      <c r="B29" s="108">
        <v>45733</v>
      </c>
      <c r="C29" s="109" t="str">
        <v>March</v>
      </c>
      <c r="D29" s="109" t="str">
        <v>Expense</v>
      </c>
      <c r="E29" s="109" t="str">
        <v>Groceries</v>
      </c>
      <c r="F29" s="110">
        <v>20500</v>
      </c>
      <c r="G29" s="109" t="str">
        <v>Snacks and Iftar Items</v>
      </c>
      <c r="P29" s="51" t="str">
        <v>Taxes</v>
      </c>
      <c r="Q29" s="62">
        <f t="shared" si="2"/>
        <v>50000</v>
      </c>
      <c r="R29" s="62">
        <f t="shared" si="0"/>
        <v>50000</v>
      </c>
      <c r="S29" s="52">
        <f t="shared" si="1"/>
        <v>1</v>
      </c>
    </row>
    <row r="30" spans="2:23" x14ac:dyDescent="0.25">
      <c r="B30" s="108">
        <v>45734</v>
      </c>
      <c r="C30" s="109" t="str">
        <v>March</v>
      </c>
      <c r="D30" s="109" t="str">
        <v>Expense</v>
      </c>
      <c r="E30" s="109" t="str">
        <v>Gifts and Charity</v>
      </c>
      <c r="F30" s="110">
        <v>35000</v>
      </c>
      <c r="G30" s="109" t="str">
        <v>Ramadan Donations</v>
      </c>
      <c r="P30" s="51" t="str">
        <v>Personal Care</v>
      </c>
      <c r="Q30" s="62">
        <f t="shared" si="2"/>
        <v>16000</v>
      </c>
      <c r="R30" s="62">
        <f t="shared" si="0"/>
        <v>16000</v>
      </c>
      <c r="S30" s="52">
        <f t="shared" si="1"/>
        <v>1</v>
      </c>
    </row>
    <row r="31" spans="2:23" x14ac:dyDescent="0.25">
      <c r="B31" s="108">
        <v>45735</v>
      </c>
      <c r="C31" s="109" t="str">
        <v>March</v>
      </c>
      <c r="D31" s="109" t="str">
        <v>Expense</v>
      </c>
      <c r="E31" s="109" t="str">
        <v>Ramazan Preparation</v>
      </c>
      <c r="F31" s="110">
        <v>28500</v>
      </c>
      <c r="G31" s="109" t="str">
        <v>Bulk dry fruits, juices, dates</v>
      </c>
      <c r="P31" s="51" t="str">
        <v>Insurance</v>
      </c>
      <c r="Q31" s="62">
        <f t="shared" si="2"/>
        <v>18000</v>
      </c>
      <c r="R31" s="62">
        <f t="shared" si="0"/>
        <v>18000</v>
      </c>
      <c r="S31" s="52">
        <f t="shared" si="1"/>
        <v>1</v>
      </c>
    </row>
    <row r="32" spans="2:23" x14ac:dyDescent="0.25">
      <c r="B32" s="108">
        <v>45736</v>
      </c>
      <c r="C32" s="109" t="str">
        <v>March</v>
      </c>
      <c r="D32" s="109" t="str">
        <v>Expense</v>
      </c>
      <c r="E32" s="109" t="str">
        <v>Taxes</v>
      </c>
      <c r="F32" s="110">
        <v>50000</v>
      </c>
      <c r="G32" s="109" t="str">
        <v>Tax Payment</v>
      </c>
      <c r="P32" s="121" t="str">
        <v>Miscellaneous Expenses</v>
      </c>
      <c r="Q32" s="62">
        <f t="shared" si="2"/>
        <v>12500</v>
      </c>
      <c r="R32" s="116">
        <f t="shared" si="0"/>
        <v>12500</v>
      </c>
      <c r="S32" s="117">
        <f t="shared" si="1"/>
        <v>1</v>
      </c>
    </row>
    <row r="33" spans="2:7" x14ac:dyDescent="0.25">
      <c r="B33" s="108">
        <v>45737</v>
      </c>
      <c r="C33" s="109" t="str">
        <v>March</v>
      </c>
      <c r="D33" s="109" t="str">
        <v>Income</v>
      </c>
      <c r="E33" s="109" t="str">
        <v>Business</v>
      </c>
      <c r="F33" s="110">
        <v>105000</v>
      </c>
      <c r="G33" s="109" t="str">
        <v>Wholesale margin</v>
      </c>
    </row>
    <row r="34" spans="2:7" x14ac:dyDescent="0.25">
      <c r="B34" s="108">
        <v>45738</v>
      </c>
      <c r="C34" s="109" t="str">
        <v>March</v>
      </c>
      <c r="D34" s="109" t="str">
        <v>Expense</v>
      </c>
      <c r="E34" s="109" t="str">
        <v>Personal Care</v>
      </c>
      <c r="F34" s="110">
        <v>16000</v>
      </c>
      <c r="G34" s="109" t="str">
        <v>Perfumes and Skincare</v>
      </c>
    </row>
    <row r="35" spans="2:7" x14ac:dyDescent="0.25">
      <c r="B35" s="108">
        <v>45739</v>
      </c>
      <c r="C35" s="109" t="str">
        <v>March</v>
      </c>
      <c r="D35" s="109" t="str">
        <v>Expense</v>
      </c>
      <c r="E35" s="109" t="str">
        <v>Insurance</v>
      </c>
      <c r="F35" s="110">
        <v>18000</v>
      </c>
      <c r="G35" s="109" t="str">
        <v>Health Insurance Premium</v>
      </c>
    </row>
    <row r="36" spans="2:7" x14ac:dyDescent="0.25">
      <c r="B36" s="108">
        <v>45740</v>
      </c>
      <c r="C36" s="109" t="str">
        <v>March</v>
      </c>
      <c r="D36" s="109" t="str">
        <v>Expense</v>
      </c>
      <c r="E36" s="109" t="str">
        <v>Ramazan Preparation</v>
      </c>
      <c r="F36" s="110">
        <v>15000</v>
      </c>
      <c r="G36" s="109" t="str">
        <v>Additional Dates, Frozen Items</v>
      </c>
    </row>
    <row r="37" spans="2:7" x14ac:dyDescent="0.25">
      <c r="B37" s="108">
        <v>45741</v>
      </c>
      <c r="C37" s="109" t="str">
        <v>March</v>
      </c>
      <c r="D37" s="109" t="str">
        <v>Expense</v>
      </c>
      <c r="E37" s="109" t="str">
        <v>House Help Workers</v>
      </c>
      <c r="F37" s="110">
        <v>3500</v>
      </c>
      <c r="G37" s="109" t="str">
        <v>Car Cleaner</v>
      </c>
    </row>
    <row r="38" spans="2:7" x14ac:dyDescent="0.25">
      <c r="B38" s="108">
        <v>45742</v>
      </c>
      <c r="C38" s="109" t="str">
        <v>March</v>
      </c>
      <c r="D38" s="109" t="str">
        <v>Income</v>
      </c>
      <c r="E38" s="109" t="str">
        <v>Car Rent</v>
      </c>
      <c r="F38" s="110">
        <v>25000</v>
      </c>
      <c r="G38" s="109" t="str">
        <v>Tenant - Car Rental</v>
      </c>
    </row>
    <row r="39" spans="2:7" x14ac:dyDescent="0.25">
      <c r="B39" s="108">
        <v>45743</v>
      </c>
      <c r="C39" s="109" t="str">
        <v>March</v>
      </c>
      <c r="D39" s="109" t="str">
        <v>Expense</v>
      </c>
      <c r="E39" s="109" t="str">
        <v>Utilities</v>
      </c>
      <c r="F39" s="110">
        <v>6500</v>
      </c>
      <c r="G39" s="109" t="str">
        <v>Phone Bill</v>
      </c>
    </row>
    <row r="40" spans="2:7" x14ac:dyDescent="0.25">
      <c r="B40" s="108">
        <v>45744</v>
      </c>
      <c r="C40" s="109" t="str">
        <v>March</v>
      </c>
      <c r="D40" s="109" t="str">
        <v>Expense</v>
      </c>
      <c r="E40" s="109" t="str">
        <v>Miscellaneous Expenses</v>
      </c>
      <c r="F40" s="110">
        <v>12500</v>
      </c>
      <c r="G40" s="109" t="str">
        <v>Unexpected Home Repair Costs</v>
      </c>
    </row>
    <row r="41" spans="2:7" x14ac:dyDescent="0.25">
      <c r="B41" s="111">
        <v>45745</v>
      </c>
      <c r="C41" s="112" t="str">
        <v>March</v>
      </c>
      <c r="D41" s="112" t="str">
        <v>Income</v>
      </c>
      <c r="E41" s="112" t="str">
        <v>Freelancing</v>
      </c>
      <c r="F41" s="112">
        <v>60000</v>
      </c>
      <c r="G41" s="112" t="str">
        <v>Client Project Completion</v>
      </c>
    </row>
    <row r="43" spans="2:7" ht="30" x14ac:dyDescent="0.25">
      <c r="B43" s="30" t="s">
        <v>91</v>
      </c>
      <c r="C43" s="31"/>
      <c r="D43" s="35" t="s">
        <v>92</v>
      </c>
      <c r="E43" s="35" t="s">
        <v>93</v>
      </c>
      <c r="F43" s="36" t="s">
        <v>94</v>
      </c>
      <c r="G43" s="16"/>
    </row>
    <row r="44" spans="2:7" x14ac:dyDescent="0.25">
      <c r="B44" s="17" t="s">
        <v>96</v>
      </c>
      <c r="C44" s="29"/>
      <c r="D44" s="64">
        <f>SUMIFS($Q$16:$Q$32,$Q$16:$Q$32,"&gt;10000")</f>
        <v>424900</v>
      </c>
      <c r="E44" s="64">
        <f>AVERAGEIFS($Q$16:$Q$32,$Q$16:$Q$32,"&gt;10000")</f>
        <v>28326.666666666668</v>
      </c>
      <c r="F44" s="37">
        <f>COUNTIFS($Q$16:$Q$32,"&gt;10000")</f>
        <v>15</v>
      </c>
    </row>
    <row r="45" spans="2:7" x14ac:dyDescent="0.25">
      <c r="B45" s="17" t="s">
        <v>95</v>
      </c>
      <c r="C45" s="29"/>
      <c r="D45" s="64">
        <f>SUMIFS($Q$16:$Q$31,$Q$16:$Q$31,"&lt;=10000",$Q$16:$Q$31,"&gt;=6000")</f>
        <v>9000</v>
      </c>
      <c r="E45" s="64">
        <f>AVERAGEIFS($Q$16:$Q$31,$Q$16:$Q$31,"&lt;=10000",$Q$16:$Q$31,"&gt;=6000")</f>
        <v>9000</v>
      </c>
      <c r="F45" s="37">
        <f>COUNTIFS($Q$16:$Q$31,"&lt;=10000",$Q$16:$Q$31,"&gt;=6000")</f>
        <v>1</v>
      </c>
    </row>
    <row r="46" spans="2:7" x14ac:dyDescent="0.25">
      <c r="B46" s="219" t="s">
        <v>97</v>
      </c>
      <c r="C46" s="220"/>
      <c r="D46" s="65">
        <f>SUMIFS($Q$16:$Q$31,$Q$16:$Q$31,"&lt;6000")</f>
        <v>4500</v>
      </c>
      <c r="E46" s="65">
        <f>AVERAGEIFS($Q$16:$Q$31,$Q$16:$Q$31,"&lt;6000")</f>
        <v>4500</v>
      </c>
      <c r="F46" s="38">
        <f>COUNTIFS($Q$16:$Q$31,"&lt;6000")</f>
        <v>1</v>
      </c>
    </row>
    <row r="51" spans="8:8" ht="36" customHeight="1" x14ac:dyDescent="0.25">
      <c r="H51" s="16"/>
    </row>
    <row r="52" spans="8:8" ht="23.25" customHeight="1" x14ac:dyDescent="0.25"/>
    <row r="53" spans="8:8" ht="23.25" customHeight="1" x14ac:dyDescent="0.25"/>
    <row r="54" spans="8:8" ht="23.25" customHeight="1" x14ac:dyDescent="0.25"/>
    <row r="64" spans="8:8" s="19" customFormat="1" x14ac:dyDescent="0.25"/>
  </sheetData>
  <mergeCells count="26">
    <mergeCell ref="Q6:R6"/>
    <mergeCell ref="A1:XFD1"/>
    <mergeCell ref="C3:E3"/>
    <mergeCell ref="H3:I3"/>
    <mergeCell ref="J3:K3"/>
    <mergeCell ref="Q4:R4"/>
    <mergeCell ref="B7:C7"/>
    <mergeCell ref="Q7:R8"/>
    <mergeCell ref="B8:C8"/>
    <mergeCell ref="D8:E8"/>
    <mergeCell ref="B9:C9"/>
    <mergeCell ref="D9:E9"/>
    <mergeCell ref="Q9:R9"/>
    <mergeCell ref="D10:E10"/>
    <mergeCell ref="I13:N13"/>
    <mergeCell ref="J14:N14"/>
    <mergeCell ref="P14:P15"/>
    <mergeCell ref="Q14:Q15"/>
    <mergeCell ref="B46:C46"/>
    <mergeCell ref="S14:S15"/>
    <mergeCell ref="J15:N15"/>
    <mergeCell ref="J16:N16"/>
    <mergeCell ref="J17:N17"/>
    <mergeCell ref="J18:N18"/>
    <mergeCell ref="J19:N19"/>
    <mergeCell ref="R14:R15"/>
  </mergeCells>
  <conditionalFormatting sqref="H5:N10">
    <cfRule type="expression" dxfId="1" priority="3">
      <formula>MONTH(H5)&lt;&gt;MONTH($B$14)</formula>
    </cfRule>
  </conditionalFormatting>
  <conditionalFormatting sqref="Q16:Q3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{EB93D54A-CC1D-455F-9B89-C24B3187FC08}</x14:id>
        </ext>
      </extLst>
    </cfRule>
  </conditionalFormatting>
  <conditionalFormatting sqref="I15:N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{181AF1B9-0A8A-47A8-8317-B78C8ED852A4}</x14:id>
        </ext>
      </extLst>
    </cfRule>
  </conditionalFormatting>
  <conditionalFormatting sqref="B14:G41">
    <cfRule type="expression" dxfId="0" priority="4">
      <formula>$B14=$P$7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93D54A-CC1D-455F-9B89-C24B3187FC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Q16:Q32</xm:sqref>
        </x14:conditionalFormatting>
        <x14:conditionalFormatting xmlns:xm="http://schemas.microsoft.com/office/excel/2006/main">
          <x14:cfRule type="dataBar" id="{181AF1B9-0A8A-47A8-8317-B78C8ED852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I15:N19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Raw Data</vt:lpstr>
      <vt:lpstr>Summary</vt:lpstr>
      <vt:lpstr>January</vt:lpstr>
      <vt:lpstr>February</vt:lpstr>
      <vt:lpstr>March</vt:lpstr>
      <vt:lpstr>Amount</vt:lpstr>
      <vt:lpstr>Category</vt:lpstr>
      <vt:lpstr>Date</vt:lpstr>
      <vt:lpstr>Description</vt:lpstr>
      <vt:lpstr>February!Expense</vt:lpstr>
      <vt:lpstr>March!Expense</vt:lpstr>
      <vt:lpstr>Summary!Expense</vt:lpstr>
      <vt:lpstr>Expense</vt:lpstr>
      <vt:lpstr>February!Income</vt:lpstr>
      <vt:lpstr>March!Income</vt:lpstr>
      <vt:lpstr>Summary!Income</vt:lpstr>
      <vt:lpstr>Income</vt:lpstr>
      <vt:lpstr>February!January</vt:lpstr>
      <vt:lpstr>March!January</vt:lpstr>
      <vt:lpstr>January</vt:lpstr>
      <vt:lpstr>Month</vt:lpstr>
      <vt:lpstr>Raw_Data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SALEEM ABBAS - 25893</dc:creator>
  <cp:lastModifiedBy>SALEEM ABBAS - 25893</cp:lastModifiedBy>
  <dcterms:created xsi:type="dcterms:W3CDTF">2025-04-15T05:18:35Z</dcterms:created>
  <dcterms:modified xsi:type="dcterms:W3CDTF">2025-04-19T14:46:46Z</dcterms:modified>
</cp:coreProperties>
</file>